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96D4D686-A8B6-44D9-84CF-D4A73C1675FF}" xr6:coauthVersionLast="47" xr6:coauthVersionMax="47" xr10:uidLastSave="{00000000-0000-0000-0000-000000000000}"/>
  <bookViews>
    <workbookView xWindow="0" yWindow="360" windowWidth="23256" windowHeight="12456" firstSheet="1" activeTab="1" xr2:uid="{00000000-000D-0000-FFFF-FFFF00000000}"/>
  </bookViews>
  <sheets>
    <sheet name="All Opportunities" sheetId="1" r:id="rId1"/>
    <sheet name="Sheet1" sheetId="3" r:id="rId2"/>
    <sheet name="hiddenSheet" sheetId="2" state="veryHidden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</calcChain>
</file>

<file path=xl/sharedStrings.xml><?xml version="1.0" encoding="utf-8"?>
<sst xmlns="http://schemas.openxmlformats.org/spreadsheetml/2006/main" count="755" uniqueCount="337">
  <si>
    <t>(Do Not Modify) Opportunity</t>
  </si>
  <si>
    <t>(Do Not Modify) Row Checksum</t>
  </si>
  <si>
    <t>(Do Not Modify) Modified On</t>
  </si>
  <si>
    <t>Opportunity ID</t>
  </si>
  <si>
    <t>Topic</t>
  </si>
  <si>
    <t>Potential Customer</t>
  </si>
  <si>
    <t>(c)  Quantity</t>
  </si>
  <si>
    <t>(c) Price/Unit</t>
  </si>
  <si>
    <t>(c) Est. Delivery Date</t>
  </si>
  <si>
    <t>Owner</t>
  </si>
  <si>
    <t>Status</t>
  </si>
  <si>
    <t>Status Reason</t>
  </si>
  <si>
    <t>Staging</t>
  </si>
  <si>
    <t>Est. close date</t>
  </si>
  <si>
    <t>Actual Close Date</t>
  </si>
  <si>
    <t>Est. Revenue</t>
  </si>
  <si>
    <t>Actual Revenue</t>
  </si>
  <si>
    <t>Rating</t>
  </si>
  <si>
    <t>(c) Reason Close Lost</t>
  </si>
  <si>
    <t>Product Sub Group</t>
  </si>
  <si>
    <t>Transaction Type</t>
  </si>
  <si>
    <t>Created On</t>
  </si>
  <si>
    <t>Modified On</t>
  </si>
  <si>
    <t>Business Sector</t>
  </si>
  <si>
    <t>Business Segment</t>
  </si>
  <si>
    <t>cd3025cf-f4d6-4152-a3f1-bb75482ef83b</t>
  </si>
  <si>
    <t>DfbgxI3QjlUtaoAZ0OUKgQpjVL/kCoZ8zsCUU29kGsxockyAMam/qy/4Q/2goD75LsdvKyBtkscD1eem/rQMKw==</t>
  </si>
  <si>
    <t>OPTY-T/2684712</t>
  </si>
  <si>
    <t>8 x Vessel OB HD785-7</t>
  </si>
  <si>
    <t>Prima Manunggal Perkasa</t>
  </si>
  <si>
    <t>REZA AJI NUR PRATAMA</t>
  </si>
  <si>
    <t>Lost</t>
  </si>
  <si>
    <t>Data Input Error</t>
  </si>
  <si>
    <t>Close Lost</t>
  </si>
  <si>
    <t>Warm</t>
  </si>
  <si>
    <t>Mining HD Coal Komatsu LV 785-7</t>
  </si>
  <si>
    <t>Unit</t>
  </si>
  <si>
    <t>Coal Mining</t>
  </si>
  <si>
    <t>Truck &amp; Bus</t>
  </si>
  <si>
    <t>2de757d3-adbd-47a7-921e-7af5c8c24fce</t>
  </si>
  <si>
    <t>yTfocrcVxZSQ1a+Q4t0iLYroq7Off6739OlQw+D2nDnEqkwKwKx6xcSCd9dCI6OnRiPjNyuyU7bPZl105kHhRA==</t>
  </si>
  <si>
    <t>OPTY-T/2684699</t>
  </si>
  <si>
    <t>5x DV27 HM400 - stock</t>
  </si>
  <si>
    <t>UNITED TRACTORS TBK.</t>
  </si>
  <si>
    <t>SHAFI AKMAL ZAIDAN #</t>
  </si>
  <si>
    <t>Product Spec</t>
  </si>
  <si>
    <t>Deal with DV25 Mineral Patria</t>
  </si>
  <si>
    <t>HD Vessel LV, Xpro &amp; Mud Vessel</t>
  </si>
  <si>
    <t>Non Coal Mining</t>
  </si>
  <si>
    <t>Mining</t>
  </si>
  <si>
    <t>c9538de6-902b-4a7a-af16-ac87c0b0069d</t>
  </si>
  <si>
    <t>5YByOom3bMK+nLM4ZEqYaVD31UwkrJNrziPm/iFnttn36nGkr87ayNWjrrJzKDGhpgcvpZuGSuPvYbesy3zwSA==</t>
  </si>
  <si>
    <t>OPTY-T/2684697</t>
  </si>
  <si>
    <t>5x TV30 Quester</t>
  </si>
  <si>
    <t>move to 10x TV24 PATRiA</t>
  </si>
  <si>
    <t>DVTV Kotak</t>
  </si>
  <si>
    <t>464ea96c-607f-4ecf-9ade-9f1996af9f55</t>
  </si>
  <si>
    <t>5b3Zhwwq0vHSohT9bjQftDezjrl9OfwR9rN5+I1RzUEiTl6cw+e2Ixe1tGn1sSSfqnVQTvbKax3pD7mQoQ8daQ==</t>
  </si>
  <si>
    <t>OPTY-T/2684691</t>
  </si>
  <si>
    <t>1x FT20Kl Hino FM280JD</t>
  </si>
  <si>
    <t>MUARA ALAM SEJAHTERA</t>
  </si>
  <si>
    <t>RIDHO AULIA RIVA #</t>
  </si>
  <si>
    <t>Price</t>
  </si>
  <si>
    <t>telat submit karena delayed pricing</t>
  </si>
  <si>
    <t>Big Truck Suppeq WT</t>
  </si>
  <si>
    <t>950d9b29-c4a4-f111-aaad-000d3a8042c9</t>
  </si>
  <si>
    <t>KChGALE7XARuSIcc08haUQ7U3KVjXuV4HDPbRhrLMAyh5cDaqn3K2AvjIBfTz20sk5rsxVqZjt+xezT+z9xu7g==</t>
  </si>
  <si>
    <t>OPTY-T/2684678</t>
  </si>
  <si>
    <t>6x Vessel HD785 Mineral Hardox MAM</t>
  </si>
  <si>
    <t>PT Merdeka Cooper Gold</t>
  </si>
  <si>
    <t>ADITYA RIZKY WASKITA WICAKSANA</t>
  </si>
  <si>
    <t>Project Cancelled</t>
  </si>
  <si>
    <t>Change to PSR project</t>
  </si>
  <si>
    <t>a694d4ac-e846-4eaf-a8e4-a8aec2d9c6c7</t>
  </si>
  <si>
    <t>C2Zwf1rTmVApVT/Cq+LPptfayxrzYImxRmyitmVn0mALO4tiTrRfuYCr02gJJkcWtLCQ1SjRLt9ZYYYesA5q/A==</t>
  </si>
  <si>
    <t>OPTY-T/2684671</t>
  </si>
  <si>
    <t>9 x WT50 SCCL</t>
  </si>
  <si>
    <t>KOMATSU INDIA PRIVATE LIMITED</t>
  </si>
  <si>
    <t>UMAR CHOLIDY</t>
  </si>
  <si>
    <t>Overseas</t>
  </si>
  <si>
    <t>58a40bd7-02a1-f111-b8de-000d3a8042c9</t>
  </si>
  <si>
    <t>06xSsCDBw3SKDEPPBpZOGHawes+qAjCbSiAzUKL2JqontYp0meh2b1bXcxwVSKhCyu0R3opWrbwyqpQ4jRfYqw==</t>
  </si>
  <si>
    <t>OPTY-T/2684668</t>
  </si>
  <si>
    <t>1x Clamshell 12 Cu.M</t>
  </si>
  <si>
    <t>PATRIA MARITIME LINES.</t>
  </si>
  <si>
    <t>MUHAMMAD RIZAL IBRAHIM #</t>
  </si>
  <si>
    <t>Attachment (Bucket)</t>
  </si>
  <si>
    <t>e412c6a3-6188-42ea-a78a-bc1d33c792d2</t>
  </si>
  <si>
    <t>Sx7MZ01vAK70EWXlmKaVxsCxRLunw17gZM1GXISKvCP2c4Oj0o6qpONerF9PiFbp0MYMquXnN3KgEtyOmoPQjw==</t>
  </si>
  <si>
    <t>OPTY-T/2684667</t>
  </si>
  <si>
    <t>1x PC125</t>
  </si>
  <si>
    <t>PUTRA PERKASA ABADI.</t>
  </si>
  <si>
    <t>FAJAR BAGUS PRATOMO</t>
  </si>
  <si>
    <t>Project Hold Bukan Cancelled, karena utilisasi bucket rotable sumatera ada 3 dari 4 site</t>
  </si>
  <si>
    <t>fa03430a-2fe0-479a-84de-0daf8ae668ce</t>
  </si>
  <si>
    <t>rA0fZoepMrQxurigXNJycIu5FODijO3PYans7vYfziDNKunI0qIZNdxQm7CaXJkKZWdL4iMclt9T/l+HrrppWA==</t>
  </si>
  <si>
    <t>OPTY-T/2684659</t>
  </si>
  <si>
    <t>10x LS4-1400 BSA</t>
  </si>
  <si>
    <t>BAHANA SELARAS ALAM.</t>
  </si>
  <si>
    <t>Project Hold, Masih menunggu konfirmasi project dari Plant</t>
  </si>
  <si>
    <t>Tower Lamp</t>
  </si>
  <si>
    <t>c5192188-fc79-496a-9233-bc57d277ef05</t>
  </si>
  <si>
    <t>7Y+FCR0S0Ec0ryHNW0j8SLsprhaaEq8s6mQjOyNcA7WT93cZeFxHFSn3mfdJ2LB+Whg9vUkeMTZ0JeCeuesitQ==</t>
  </si>
  <si>
    <t>OPTY-T/2684658</t>
  </si>
  <si>
    <t>2x Core Sampler GMP dan PSMI</t>
  </si>
  <si>
    <t>Barlian Indo Technology</t>
  </si>
  <si>
    <t>Lost to Dedini with change just head probe</t>
  </si>
  <si>
    <t>Core Sampler</t>
  </si>
  <si>
    <t>Non Mining</t>
  </si>
  <si>
    <t>Forestry &amp; Agro</t>
  </si>
  <si>
    <t>2a261b46-07f1-4fc2-a5d2-7d2c0d062d77</t>
  </si>
  <si>
    <t>tAiUmTo/S1xKqm2DTCGNPpRYfOawUTc3jka0c6pQUdVfc3e2c8ggr/ZPDroTuWq/JkGBN7M2FjoVucZWnwcWvA==</t>
  </si>
  <si>
    <t>OPTY-T/2684657</t>
  </si>
  <si>
    <t>1x Bucket PC2000 LIPS Plate 120 Rock Bucket (Bare Bcuket)</t>
  </si>
  <si>
    <t>Warranty 18 Bulan</t>
  </si>
  <si>
    <t>ec9231c4-50b1-4f67-bcfa-f9eb542aece2</t>
  </si>
  <si>
    <t>wMwAUd+aB4XD6laBSqlTlFrhWGcfg+4hm1aXLRCBbMcOmU9feThPLl+sWsLLVAsThAthSzWt6art93/VGFKtsw==</t>
  </si>
  <si>
    <t>OPTY-T/2684637</t>
  </si>
  <si>
    <t>Crusher 300 TPH UT ASC JKT</t>
  </si>
  <si>
    <t>Arround 16 M</t>
  </si>
  <si>
    <t>9e17d3eb-9068-4696-beb9-fe078f2dee3c</t>
  </si>
  <si>
    <t>ArNOn+y+D/NNM0amdm/GxmTzfRt2Fp7r24QaKIlkcxS5SxM8fMX1rxfySkwM058a6QtWh13B0jcMtWUCbXekhQ==</t>
  </si>
  <si>
    <t>OPTY-T/2684628</t>
  </si>
  <si>
    <t>WST20KL_BUMA</t>
  </si>
  <si>
    <t>BUKIT MAKMUR MANDIRI UTAMA.</t>
  </si>
  <si>
    <t>RADITYA DWI NUGRAHA #</t>
  </si>
  <si>
    <t>Project Pending</t>
  </si>
  <si>
    <t>Still Budgeting</t>
  </si>
  <si>
    <t>Small/Medium Suppeq WT/WST</t>
  </si>
  <si>
    <t>ccb894f0-ec8c-f111-8077-00224819a50e</t>
  </si>
  <si>
    <t>2m9pAD3AleJoLNcPrwtX5OyaCfRjbIy3KnQT/JdjceaJ71uXJVjQGaxKBQKaQyb9cmsz9pml2DMQjERFACyUnA==</t>
  </si>
  <si>
    <t>OPTY-T/2684547</t>
  </si>
  <si>
    <t xml:space="preserve">2 X Crane Truck Amco Veba </t>
  </si>
  <si>
    <t>KALIMANTAN PRIMA PERSADA.</t>
  </si>
  <si>
    <t>RIDHO NUZULLAH SUHAIB #</t>
  </si>
  <si>
    <t>c8b894f0-ec8c-f111-8077-00224819a50e</t>
  </si>
  <si>
    <t>u1+wA8Ru+CX/TvccyD4gAORjtcI+1mw56aeeQvFhuwRtOyd2skVbzu7MbKWKd+cZvhj+CrDP9wtYqrgZWFNxKw==</t>
  </si>
  <si>
    <t>OPTY-T/2684545</t>
  </si>
  <si>
    <t>3 X LT-07 SCANIA P420CB DOUBLE CAB 6x6</t>
  </si>
  <si>
    <t>0b4c283f-6808-453e-bbfb-346574bbf481</t>
  </si>
  <si>
    <t>E6FRbkIKWpzHvt+NV/+4EJxhAbkowAvN8nzW5LDiauiDZOMctxu15SwFCo8grYjsR4FL8K4GfoklWQLMGylfWw==</t>
  </si>
  <si>
    <t>OPTY-T/2684512</t>
  </si>
  <si>
    <t>5x SDT90 Single Trailer</t>
  </si>
  <si>
    <t>SINAR NIRWANA SARI</t>
  </si>
  <si>
    <t>Close Lost Unspecified</t>
  </si>
  <si>
    <t>unspecified close lost</t>
  </si>
  <si>
    <t>Trailer Mining &amp; Logging</t>
  </si>
  <si>
    <t>8ff28f66-a13d-4944-8a8b-a4380868652d</t>
  </si>
  <si>
    <t>tunMclDM3Vh3LJnnANT9Usq9PBmeY8NZ8hFnav2t2cBF5yQYXPQG0z/ch7g8SMGhJCsj54qMHuIa4z2qFzNmww==</t>
  </si>
  <si>
    <t>OPTY-T/2684511</t>
  </si>
  <si>
    <t>1x LS4-2000 TYRE</t>
  </si>
  <si>
    <t>KIDECO JAYA AGUNG.</t>
  </si>
  <si>
    <t>need reconsiliation for actual demand</t>
  </si>
  <si>
    <t>f14b3a3b-7c7a-441a-a6fb-f2c1528f8a9e</t>
  </si>
  <si>
    <t>P1FFUrk4XSgZyXkEn3MXjgli1IYB2Y+jGY4+MW3HH4Os8Ik61SkTs2SwEZmvvzKDyo/8CIoifHSXDKZgRtKeqQ==</t>
  </si>
  <si>
    <t>OPTY-T/2684510</t>
  </si>
  <si>
    <t>1x FT30KL SITRAK</t>
  </si>
  <si>
    <t>WIJAYA DAYA JAYA</t>
  </si>
  <si>
    <t>Small/Medium Suppeq FT</t>
  </si>
  <si>
    <t>61d91d5a-04ac-4100-ab64-6203e8264483</t>
  </si>
  <si>
    <t>DfnXQOZlcKQK1gDTmbKAGODoNkAR9BQT1Y9DbZvFyg3DPG66NsTud9amNdCVJ7nP5eRlHIRWN3V8HLsRII9HnQ==</t>
  </si>
  <si>
    <t>OPTY-T/2684509</t>
  </si>
  <si>
    <t>1x LUBETRUCK SITRAK PTDH</t>
  </si>
  <si>
    <t>Small/Medium Suppeq Lubetruck</t>
  </si>
  <si>
    <t>e31d15d9-14c1-45bb-8983-90a491b60706</t>
  </si>
  <si>
    <t>Oa9tldiY7F/r6r3PZi4gdEPY7DeYasBPT0c5n3QKJhIJ0JN/WhXs5I2geQSWRTjU6zZVGI38HD56L/YAL0MuOw==</t>
  </si>
  <si>
    <t>OPTY-T/2684508</t>
  </si>
  <si>
    <t>2x WST20KL SITRAK PTDH</t>
  </si>
  <si>
    <t>unfollowed up demand</t>
  </si>
  <si>
    <t>cdfe6e7f-ec83-f111-ab0e-000d3a82e63d</t>
  </si>
  <si>
    <t>T4UBwiUh16nt0F74dWOkCOm8MFRnZelBTG9P8veM6xkh/YivzPyHoDdElVQmMQTfbVtO2j4MlURvcuM25hH0BQ==</t>
  </si>
  <si>
    <t>OPTY-T/2684506</t>
  </si>
  <si>
    <t>1x BUCKET XCMG XE2000 ESCO</t>
  </si>
  <si>
    <t>DARMA HENWA TBK.</t>
  </si>
  <si>
    <t>d4b26ef0-e50d-45ea-99e6-906e5e30ad35</t>
  </si>
  <si>
    <t>VpgVqQjgG0m5KSODGJGqhqsaocHoBN3HPmGa/Gy+CfGeWNs6QZpcxng4KBJXKj9i3zIRBM3LUBzEZQyRB1ErSg==</t>
  </si>
  <si>
    <t>OPTY-T/2684505</t>
  </si>
  <si>
    <t>1x BUCKET XCMG XE1250 ESCO</t>
  </si>
  <si>
    <t>94774eeb-d983-f111-ab0e-70a8a5037a08</t>
  </si>
  <si>
    <t>tnix+GUf8WuJfzVrjZqMx+ItC8TDW6LwZXnxtwU4Bq098aJWM22HSdU8BEHV73ocOswYbUHp66Qhm+5UL47p9g==</t>
  </si>
  <si>
    <t>OPTY-T/2684497</t>
  </si>
  <si>
    <t>10 x X-Pro Trailer SDT110-125</t>
  </si>
  <si>
    <t>BAHTERA PUTERA NUSANTARA</t>
  </si>
  <si>
    <t>carry over</t>
  </si>
  <si>
    <t>0568d477-c913-4a11-b9a8-17070bbab064</t>
  </si>
  <si>
    <t>K/HVMslsNroj8Tu3HWeG8fJQsQHskjk4VolawfADxmChhc7FD3S9Pny4NhNTTPE9sAw9YSGE8mWvVWIoZClNlQ==</t>
  </si>
  <si>
    <t>OPTY-T/2684485</t>
  </si>
  <si>
    <t>300 tph Wheeled Crusher</t>
  </si>
  <si>
    <t>WIDYA SAPTA CONTRACTOR</t>
  </si>
  <si>
    <t>Crusher</t>
  </si>
  <si>
    <t>eea41def-5d7e-f111-ab0f-70a8a50464e7</t>
  </si>
  <si>
    <t>gtWBkh2JF3XQb0klCrrJ1VW/1gAdhrc3ua1RQ0LlAXMpfougr/7PHLNHxV9TLgAUJOnjsRd0CpjIlqvWhMHclQ==</t>
  </si>
  <si>
    <t>OPTY-T/2684483</t>
  </si>
  <si>
    <t>3x Clamshell 16 Cu.M</t>
  </si>
  <si>
    <t>Specification change</t>
  </si>
  <si>
    <t>2af53c7f-5d7e-f111-ab0f-70a8a50464e7</t>
  </si>
  <si>
    <t>MNNvTiJ63x0vmwQfliuMpgeJq9TP/IW5SpXNjwMFB6jm6pztlrHCjUlhljQeWYWxD9AgsMQnEFcV8i/GDxzT+Q==</t>
  </si>
  <si>
    <t>OPTY-T/2684480</t>
  </si>
  <si>
    <t>1x Forklift 1,5 Ton (Reach Truck - 3 Way)</t>
  </si>
  <si>
    <t>Pra dan Purnabakti Karyawan PT UTPE.</t>
  </si>
  <si>
    <t>Forklift</t>
  </si>
  <si>
    <t>35ce315c-5d7e-f111-ab0f-70a8a50464e7</t>
  </si>
  <si>
    <t>Cwa7QOThWwuk31ij6/KSui8vUfrM8guoZmU11aBuSHVvnQFZFprCna17Bx55TO9gnsYy2Jcay+bjU772Uw8iYw==</t>
  </si>
  <si>
    <t>OPTY-T/2684479</t>
  </si>
  <si>
    <t>2x LBT 80 (Hino)</t>
  </si>
  <si>
    <t>MITRA PROFITAMAS MOTOR.</t>
  </si>
  <si>
    <t>947cd684-f5b7-4fa2-9d54-bad8d5728fe7</t>
  </si>
  <si>
    <t>Lys5L7kEHhiREJsrfrXq/YsV8XS7hYUxSP6i3tn09IrcrtR3ExYgW/E8VEsOt0tgYZowfoXuJhrQ73Tz9RRJgw==</t>
  </si>
  <si>
    <t>OPTY-T/2684471</t>
  </si>
  <si>
    <t>Fuel Bowser 2KL - Bayan Resources</t>
  </si>
  <si>
    <t>BAYAN RESOURCES</t>
  </si>
  <si>
    <t>d7952c64-027e-f111-ab0f-000d3a82716a</t>
  </si>
  <si>
    <t>g0qKNSJUv1V6o6eY0cyQ2qIM2oQvkeJ2MBoOzPNRqEtfDJjrvKeAcKkN58KwTm9WTwNjykC9oi+ALLQQL6hRcA==</t>
  </si>
  <si>
    <t>OPTY-T/2684463</t>
  </si>
  <si>
    <t>2x FT20 Quester CWE370</t>
  </si>
  <si>
    <t>Truck lost to HINO</t>
  </si>
  <si>
    <t>f86ad437-17c1-4556-8c42-ea2277ea95d8</t>
  </si>
  <si>
    <t>GoZ1jNczI0PGTz2fdGJNIsZzq+FkBtn7U2QZzUL1dR5vgRbAcIpXFEparZ2RUTt7yBUqrN18TFmJPgjdtg3yVg==</t>
  </si>
  <si>
    <t>OPTY-T/2684462</t>
  </si>
  <si>
    <t>2x WT20 Quester CWE370</t>
  </si>
  <si>
    <t>1cc6b75c-5ae6-4f94-ab43-ecdf3aaef065</t>
  </si>
  <si>
    <t>dqKUCHPCZE0PICRLy5vkRyPo4tCA73xGQUSQ8rlvdgsooGDzaRxny2lX1zo9auAfeLsGjxuEcYFA/hc6TU8tIQ==</t>
  </si>
  <si>
    <t>OPTY-T/2684452</t>
  </si>
  <si>
    <t>1 x Flatdeck NMRL</t>
  </si>
  <si>
    <t>FREEPORT INDONESIA.</t>
  </si>
  <si>
    <t>Attachment</t>
  </si>
  <si>
    <t>ff8bb0b4-9c7a-f111-ab0e-70a8a50468d8</t>
  </si>
  <si>
    <t>1CXXonupRr8kL47eAS0xPawovSOum5EZNkQBaSXMWuBFoI+0YrgIo5FIaxs+bFpE5rf6Fe28nhesWM6mCsZTUg==</t>
  </si>
  <si>
    <t>OPTY-T/2684451</t>
  </si>
  <si>
    <t>2x CH1400 Powerscreen</t>
  </si>
  <si>
    <t>Energi Unggul Persada</t>
  </si>
  <si>
    <t>-</t>
  </si>
  <si>
    <t>988aa72e-434b-4051-86ae-7386097e7628</t>
  </si>
  <si>
    <t>x2Fh/QUPa28lDSBmLd8UaXNjhDOkZ3yd8TguhjGxtUjKd98Ya2uNJqtT5ogjVv1L99rLG1YbHTlYOEjYJ0Emsg==</t>
  </si>
  <si>
    <t>OPTY-T/2684442</t>
  </si>
  <si>
    <t>1x WT50 CAT773</t>
  </si>
  <si>
    <t>SIMS JAYA KALTIM.</t>
  </si>
  <si>
    <t>carry over, masih dalam diskusi internal SIMS untuk decision new invest atau rekondisi eksisting unit</t>
  </si>
  <si>
    <t>c21cc29b-8ddc-45bc-87cb-c27f47a6aaea</t>
  </si>
  <si>
    <t>cTU2YnmlyWH0OInOCiKa9gd8+vNnbhqVzAKEQBBfdy2qtTxeETJV2p0cjr95ac6avO+eMn9FQhSYbS4Wzsnn1Q==</t>
  </si>
  <si>
    <t>OPTY-T/2684440</t>
  </si>
  <si>
    <t>7x Manhauler 40 seats - CWE370</t>
  </si>
  <si>
    <t>8b0a4561-a063-448f-9720-a0d17bb478f1</t>
  </si>
  <si>
    <t>KAA2ITN1LLWDUkbEpQ/X6w+7rT0Nk0U2HfGodoIm2BREjBa0ygA2kbhtRsuIqH3NFAC9IMNofnBcOarbmW3HMg==</t>
  </si>
  <si>
    <t>OPTY-T/2684431</t>
  </si>
  <si>
    <t>5x TV 35 (Nickle)</t>
  </si>
  <si>
    <t>HINO MOTORS SALES INDONESIA.</t>
  </si>
  <si>
    <t>0102c8df-7d78-f111-ab0f-70a8a5046367</t>
  </si>
  <si>
    <t>pTGbmgXVZwYu5OOCqYeyvfv+06lNgW952wsVMPeHcu783uP0FVScLvLOUhDYt8efpDZlFo2xt/qRLlsaqJmP6Q==</t>
  </si>
  <si>
    <t>OPTY-T/2684430</t>
  </si>
  <si>
    <t>2x Tire Truck (With crane 5 Ton)</t>
  </si>
  <si>
    <t>Chandra Investa Prima</t>
  </si>
  <si>
    <t>39cbb1b1-7d78-f111-ab0f-70a8a5046367</t>
  </si>
  <si>
    <t>+RbM5c50pz4P7HMIvBahSD1jPCgbxfDE7UaGIgQy8BbAvysTf69hpymZ8Ngwk7MTq1XdgVADxBuQ9nQnbGlUsw==</t>
  </si>
  <si>
    <t>OPTY-T/2684429</t>
  </si>
  <si>
    <t>1x TV24 Gold (Hino)</t>
  </si>
  <si>
    <t>9a980c54-6f1f-4d08-9885-ef17741ff1e9</t>
  </si>
  <si>
    <t>dGpl+WPtW/KWT74jt74c1taZZMHZn1aR7PFf8GBOkfvfIvapLBkUvwSKkXui55zuWYTI7lK93VJJ9bOrXhzZJg==</t>
  </si>
  <si>
    <t>OPTY-T/2684416</t>
  </si>
  <si>
    <t>5x MMT Anfo</t>
  </si>
  <si>
    <t>DAHANA</t>
  </si>
  <si>
    <t>target tahun invest tahun ini sudah maksimal masuk investasi tahun depan</t>
  </si>
  <si>
    <t>9d76b7ce-00ca-4619-b624-c92460eafe85</t>
  </si>
  <si>
    <t>K7d7RA+PLsEk/c7VFgra+gzEVPT8oMFtTDhXpmz27LSxzmHKanhK4+A0D4xOPBy8S8b/bpujTuuc8649i1DG2w==</t>
  </si>
  <si>
    <t>OPTY-T/2684415</t>
  </si>
  <si>
    <t>2x Towerlamp LSH4-1400</t>
  </si>
  <si>
    <t>134626d0-6536-4e88-ac7d-68702c7d5cfa</t>
  </si>
  <si>
    <t>LyhOlQDTiF8HojGM2qkB2N82jtfYHdsZVo3njjupLiXJ59pQpUGDOXcHXHa1I5IWuAZ8F3nbPupqQGTdCZv0sw==</t>
  </si>
  <si>
    <t>OPTY-T/2684357</t>
  </si>
  <si>
    <t>10 x SST100 Double Trailer EV Truck</t>
  </si>
  <si>
    <t>UNGGUL DINAMIKA UTAMA</t>
  </si>
  <si>
    <t>usnpecified</t>
  </si>
  <si>
    <t>d5a0c101-255e-f111-a826-000d3a80c037</t>
  </si>
  <si>
    <t>4KShEgJ96TVwpX+THQIvZQxsFZ+2nj6hwf+CxvhKvNP9A/kwDTMnNjKZFLYbxOhEoE+eC71gdPk6Iad19vWJXQ==</t>
  </si>
  <si>
    <t>OPTY-T/2684338</t>
  </si>
  <si>
    <t>TATA BARA UTAMA</t>
  </si>
  <si>
    <t>unspecified</t>
  </si>
  <si>
    <t>fdd01908-9747-f111-bec6-000d3a8617e0</t>
  </si>
  <si>
    <t>AlS3CyMEFlu4njWRuWeJVj9m+b6jKCa0zsp5KA7LsWidpSyXA0BzcXSxaRldet5fEvH/O0tPCEP82Vv0yOOqGw==</t>
  </si>
  <si>
    <t>OPTY-T/2684291</t>
  </si>
  <si>
    <t>20x Towerlamp (Hydrogen) - Site Papua Nugini</t>
  </si>
  <si>
    <t>PETROSEA, TBK.</t>
  </si>
  <si>
    <t>Administration</t>
  </si>
  <si>
    <t>58da1d9b-601b-f111-8342-000d3a85a2af</t>
  </si>
  <si>
    <t>pLoilGpbnws8z2NSNxILXT1YtX7c77g2lBp5eiPqGZRSEUYOZtSB4b3lyUANMlCPKFtDsYVjD9JZYPXe16dg1Q==</t>
  </si>
  <si>
    <t>OPTY-T/2684184</t>
  </si>
  <si>
    <t>1x Bare Bucket EX2000 (Exclude GET)</t>
  </si>
  <si>
    <t>893070d3-1300-45df-9eb1-583eb3a3048d</t>
  </si>
  <si>
    <t>zGXhRZDOIHhjr5wIa/dZ413saW9Z+rLCgYhXT7ziNa4Y/IWSEX8OJjjCLmOph6ocinTGoaPjvOqs7fJb7vZv0Q==</t>
  </si>
  <si>
    <t>OPTY-T/2684152</t>
  </si>
  <si>
    <t>Set Core Sampler dan Minilab RMI</t>
  </si>
  <si>
    <t>Rejoso Manis Indo</t>
  </si>
  <si>
    <t>kebutuhan unit belum terlalu urgent</t>
  </si>
  <si>
    <t>c03f83d5-68fa-f011-8406-70a8a502815d</t>
  </si>
  <si>
    <t>drRh+jIe5AY4mapntFzxyZx9371YhZm9yXBOa+TsQHyfLZrp17e8iyfEpLRbXBNKCdwRutNImiGXWUFSwm0JlQ==</t>
  </si>
  <si>
    <t>OPTY-T/2684082</t>
  </si>
  <si>
    <t>3x Bucket Loader WA 480 [MINEX]</t>
  </si>
  <si>
    <t>17355058-2bec-f011-8406-70a8a5059421</t>
  </si>
  <si>
    <t>DqVld/xo4IJy3A8POD/7BRZ6nmyi1izX4YhMr6sk8etexqXqP5tqdcC6ZaRBt09+NwUpAovVuUVqVCpdhIPbcw==</t>
  </si>
  <si>
    <t>OPTY-T/2683992</t>
  </si>
  <si>
    <t>2x LBT 80 Ton</t>
  </si>
  <si>
    <t>FBT</t>
  </si>
  <si>
    <t>opportunity:XhElICRjAYIAK1vKsCC+W/ttesKDozrJ6urt3uLoo9TME8SO6LZaEw8irmwgI9hSnrcglV1dqEND8f3yVoffnA==:opportunityid=%28Do%20Not%20Modify%29%20Opportunity&amp;checksumLogicalName=%28Do%20Not%20Modify%29%20Row%20Checksum&amp;modifiedon=%28Do%20Not%20Modify%29%20Modified%20On&amp;kre_opportunityid=Opportunity%20ID&amp;name=Topic&amp;customerid=Potential%20Customer&amp;crd31_cquantity=%28c%29%20%20Quantity&amp;crd31_cprice=%28c%29%20Price%2fUnit&amp;crd31_cestdeliverydate=%28c%29%20Est.%20Delivery%20Date&amp;ownerid=Owner&amp;statecode=Status&amp;statuscode=Status%20Reason&amp;kre_staging=Staging&amp;estimatedclosedate=Est.%20close%20date&amp;actualclosedate=Actual%20Close%20Date&amp;estimatedvalue=Est.%20Revenue&amp;actualvalue=Actual%20Revenue&amp;opportunityratingcode=Rating&amp;crd31_creasoncloselost=%28c%29%20Reason%20Close%20Lost&amp;kre_productsubgroup=Product%20Sub%20Group&amp;kre_transactiontype=Transaction%20Type&amp;createdon=Created%20On&amp;modifiedon=Modified%20On&amp;kre_business_sector=Business%20Sector&amp;kre_business_segment=Business%20Segment</t>
  </si>
  <si>
    <t>Open</t>
  </si>
  <si>
    <t>Won</t>
  </si>
  <si>
    <t>In Progress</t>
  </si>
  <si>
    <t>On Hold</t>
  </si>
  <si>
    <t>Data Input Errors</t>
  </si>
  <si>
    <t>Lead Time Delivery</t>
  </si>
  <si>
    <t>Regulation</t>
  </si>
  <si>
    <t>Payment Issue</t>
  </si>
  <si>
    <t>Other</t>
  </si>
  <si>
    <t>Waiting Approval</t>
  </si>
  <si>
    <t>Cancel Quotation</t>
  </si>
  <si>
    <t>Forecast (N+3 or more)</t>
  </si>
  <si>
    <t>Potential (N+1 &amp; N+2)</t>
  </si>
  <si>
    <t>Hot Prospect (N)</t>
  </si>
  <si>
    <t>Close Won</t>
  </si>
  <si>
    <t>Close Lost Back to Potential</t>
  </si>
  <si>
    <t>Hot</t>
  </si>
  <si>
    <t>Cold</t>
  </si>
  <si>
    <t>Part</t>
  </si>
  <si>
    <t>Service</t>
  </si>
  <si>
    <t>Switching</t>
  </si>
  <si>
    <t>Industrial, Construction &amp; Logistic</t>
  </si>
  <si>
    <t>Rental</t>
  </si>
  <si>
    <t>Row Labels</t>
  </si>
  <si>
    <t>(blank)</t>
  </si>
  <si>
    <t>Grand Total</t>
  </si>
  <si>
    <t>Column Labels</t>
  </si>
  <si>
    <t>Column1</t>
  </si>
  <si>
    <t>Week</t>
  </si>
  <si>
    <t>Week 1</t>
  </si>
  <si>
    <t>Week 2</t>
  </si>
  <si>
    <t>Week 3</t>
  </si>
  <si>
    <t>Week 4</t>
  </si>
  <si>
    <t>Sum of Est.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</si>
</sst>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Rp&quot;#,##0;\-&quot;Rp&quot;#,##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5" fontId="0" fillId="0" borderId="0" xfId="0" applyNumberFormat="1"/>
  </cellXfs>
  <cellStyles count="1">
    <cellStyle name="Normal" xfId="0" builtinId="0"/>
  </cellStyles>
  <dxfs count="27"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19" formatCode="dd/mm/yyyy"/>
    </dxf>
    <dxf>
      <numFmt numFmtId="19" formatCode="dd/mm/yyyy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  <dxf>
      <numFmt numFmtId="9" formatCode="&quot;Rp&quot;#,##0;\-&quot;Rp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LOQ" refreshedDate="46294.561268634257" createdVersion="8" refreshedVersion="8" minRefreshableVersion="3" recordCount="47" xr:uid="{0157060F-3909-4A39-B94B-F653682B859F}">
  <cacheSource type="worksheet">
    <worksheetSource ref="A1:XFD1048576" sheet="All Opportunities"/>
  </cacheSource>
  <cacheFields count="16384">
    <cacheField name="(Do Not Modify) Opportunity" numFmtId="0">
      <sharedItems containsBlank="1"/>
    </cacheField>
    <cacheField name="(Do Not Modify) Row Checksum" numFmtId="49">
      <sharedItems containsBlank="1"/>
    </cacheField>
    <cacheField name="(Do Not Modify) Modified On" numFmtId="22">
      <sharedItems containsNonDate="0" containsDate="1" containsString="0" containsBlank="1" minDate="2026-09-04T02:49:55" maxDate="2026-09-28T02:50:48"/>
    </cacheField>
    <cacheField name="Opportunity ID" numFmtId="49">
      <sharedItems containsBlank="1"/>
    </cacheField>
    <cacheField name="Topic" numFmtId="49">
      <sharedItems containsBlank="1"/>
    </cacheField>
    <cacheField name="Potential Customer" numFmtId="49">
      <sharedItems containsBlank="1"/>
    </cacheField>
    <cacheField name="(c)  Quantity" numFmtId="1">
      <sharedItems containsString="0" containsBlank="1" containsNumber="1" containsInteger="1" minValue="1" maxValue="20"/>
    </cacheField>
    <cacheField name="(c) Price/Unit" numFmtId="2">
      <sharedItems containsString="0" containsBlank="1" containsNumber="1" containsInteger="1" minValue="240000000" maxValue="1900000000"/>
    </cacheField>
    <cacheField name="(c) Est. Delivery Date" numFmtId="14">
      <sharedItems containsNonDate="0" containsDate="1" containsString="0" containsBlank="1" minDate="2026-09-30T08:00:00" maxDate="2027-03-23T08:00:00"/>
    </cacheField>
    <cacheField name="Owner" numFmtId="0">
      <sharedItems containsBlank="1"/>
    </cacheField>
    <cacheField name="Status" numFmtId="49">
      <sharedItems containsBlank="1"/>
    </cacheField>
    <cacheField name="Status Reason" numFmtId="49">
      <sharedItems containsBlank="1" count="8">
        <s v="Data Input Error"/>
        <s v="Product Spec"/>
        <s v="Price"/>
        <s v="Project Cancelled"/>
        <s v="Project Pending"/>
        <s v="Close Lost Unspecified"/>
        <s v="Administration"/>
        <m/>
      </sharedItems>
    </cacheField>
    <cacheField name="Staging" numFmtId="49">
      <sharedItems containsBlank="1"/>
    </cacheField>
    <cacheField name="Est. close date" numFmtId="14">
      <sharedItems containsNonDate="0" containsDate="1" containsString="0" containsBlank="1" minDate="2026-09-11T00:00:00" maxDate="2027-01-01T00:00:00"/>
    </cacheField>
    <cacheField name="Actual Close Date" numFmtId="14">
      <sharedItems containsNonDate="0" containsDate="1" containsString="0" containsBlank="1" minDate="2026-09-01T00:00:00" maxDate="2026-09-29T00:00:00" count="13">
        <d v="2026-09-28T00:00:00"/>
        <d v="2026-09-22T00:00:00"/>
        <d v="2026-09-27T00:00:00"/>
        <d v="2026-09-14T00:00:00"/>
        <d v="2026-09-13T00:00:00"/>
        <d v="2026-09-20T00:00:00"/>
        <d v="2026-09-01T00:00:00"/>
        <d v="2026-09-04T00:00:00"/>
        <d v="2026-09-07T00:00:00"/>
        <d v="2026-09-21T00:00:00"/>
        <d v="2026-09-17T00:00:00"/>
        <d v="2026-09-10T00:00:00"/>
        <m/>
      </sharedItems>
    </cacheField>
    <cacheField name="Week" numFmtId="14">
      <sharedItems containsBlank="1" count="5">
        <s v="Week 4"/>
        <s v="Week 2"/>
        <s v="Week 3"/>
        <s v="Week 1"/>
        <m/>
      </sharedItems>
    </cacheField>
    <cacheField name="Est. Revenue" numFmtId="2">
      <sharedItems containsString="0" containsBlank="1" containsNumber="1" containsInteger="1" minValue="32178852" maxValue="40000000000"/>
    </cacheField>
    <cacheField name="Actual Revenue" numFmtId="2">
      <sharedItems containsString="0" containsBlank="1" containsNumber="1" containsInteger="1" minValue="0" maxValue="35000000000"/>
    </cacheField>
    <cacheField name="Rating" numFmtId="49">
      <sharedItems containsBlank="1"/>
    </cacheField>
    <cacheField name="(c) Reason Close Lost" numFmtId="49">
      <sharedItems containsBlank="1"/>
    </cacheField>
    <cacheField name="Product Sub Group" numFmtId="49">
      <sharedItems containsBlank="1"/>
    </cacheField>
    <cacheField name="Transaction Type" numFmtId="49">
      <sharedItems containsBlank="1"/>
    </cacheField>
    <cacheField name="Created On" numFmtId="22">
      <sharedItems containsNonDate="0" containsDate="1" containsString="0" containsBlank="1" minDate="2026-01-08T00:45:44" maxDate="2026-09-21T01:24:43"/>
    </cacheField>
    <cacheField name="Modified On" numFmtId="22">
      <sharedItems containsNonDate="0" containsDate="1" containsString="0" containsBlank="1" minDate="2026-09-04T02:49:55" maxDate="2026-09-28T02:50:48"/>
    </cacheField>
    <cacheField name="Business Sector" numFmtId="49">
      <sharedItems containsBlank="1"/>
    </cacheField>
    <cacheField name="Business Segment" numFmtId="49">
      <sharedItems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d3025cf-f4d6-4152-a3f1-bb75482ef83b"/>
    <s v="DfbgxI3QjlUtaoAZ0OUKgQpjVL/kCoZ8zsCUU29kGsxockyAMam/qy/4Q/2goD75LsdvKyBtkscD1eem/rQMKw=="/>
    <d v="2026-09-28T02:50:48"/>
    <s v="OPTY-T/2684712"/>
    <s v="8 x Vessel OB HD785-7"/>
    <s v="Prima Manunggal Perkasa"/>
    <n v="8"/>
    <n v="1149000000"/>
    <d v="2027-03-23T08:00:00"/>
    <s v="REZA AJI NUR PRATAMA"/>
    <s v="Lost"/>
    <x v="0"/>
    <s v="Close Lost"/>
    <d v="2026-12-23T00:00:00"/>
    <x v="0"/>
    <x v="0"/>
    <n v="9192000000"/>
    <n v="0"/>
    <s v="Warm"/>
    <m/>
    <s v="Mining HD Coal Komatsu LV 785-7"/>
    <s v="Unit"/>
    <d v="2026-09-21T01:24:43"/>
    <d v="2026-09-28T02:50:48"/>
    <s v="Coal Mining"/>
    <s v="Truck &amp; Bu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de757d3-adbd-47a7-921e-7af5c8c24fce"/>
    <s v="yTfocrcVxZSQ1a+Q4t0iLYroq7Off6739OlQw+D2nDnEqkwKwKx6xcSCd9dCI6OnRiPjNyuyU7bPZl105kHhRA=="/>
    <d v="2026-09-23T01:27:41"/>
    <s v="OPTY-T/2684699"/>
    <s v="5x DV27 HM400 - stock"/>
    <s v="UNITED TRACTORS TBK."/>
    <m/>
    <m/>
    <d v="2026-09-30T08:00:00"/>
    <s v="SHAFI AKMAL ZAIDAN #"/>
    <s v="Lost"/>
    <x v="1"/>
    <s v="Close Lost"/>
    <d v="2026-09-25T00:00:00"/>
    <x v="1"/>
    <x v="0"/>
    <n v="1550000000"/>
    <n v="1550000000"/>
    <s v="Warm"/>
    <s v="Deal with DV25 Mineral Patria"/>
    <s v="HD Vessel LV, Xpro &amp; Mud Vessel"/>
    <s v="Unit"/>
    <d v="2026-09-07T01:18:23"/>
    <d v="2026-09-23T01:27:41"/>
    <s v="Non 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9538de6-902b-4a7a-af16-ac87c0b0069d"/>
    <s v="5YByOom3bMK+nLM4ZEqYaVD31UwkrJNrziPm/iFnttn36nGkr87ayNWjrrJzKDGhpgcvpZuGSuPvYbesy3zwSA=="/>
    <d v="2026-09-23T01:30:33"/>
    <s v="OPTY-T/2684697"/>
    <s v="5x TV30 Quester"/>
    <s v="UNITED TRACTORS TBK."/>
    <m/>
    <m/>
    <d v="2026-10-25T08:00:00"/>
    <s v="SHAFI AKMAL ZAIDAN #"/>
    <s v="Lost"/>
    <x v="1"/>
    <s v="Close Lost"/>
    <d v="2026-09-25T00:00:00"/>
    <x v="1"/>
    <x v="0"/>
    <n v="1500000000"/>
    <n v="1500000000"/>
    <s v="Warm"/>
    <s v="move to 10x TV24 PATRiA"/>
    <s v="DVTV Kotak"/>
    <s v="Unit"/>
    <d v="2026-09-07T00:37:55"/>
    <d v="2026-09-23T01:30:33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464ea96c-607f-4ecf-9ade-9f1996af9f55"/>
    <s v="5b3Zhwwq0vHSohT9bjQftDezjrl9OfwR9rN5+I1RzUEiTl6cw+e2Ixe1tGn1sSSfqnVQTvbKax3pD7mQoQ8daQ=="/>
    <d v="2026-09-23T01:42:48"/>
    <s v="OPTY-T/2684691"/>
    <s v="1x FT20Kl Hino FM280JD"/>
    <s v="MUARA ALAM SEJAHTERA"/>
    <m/>
    <m/>
    <d v="2027-01-22T08:00:00"/>
    <s v="RIDHO AULIA RIVA #"/>
    <s v="Lost"/>
    <x v="2"/>
    <s v="Close Lost"/>
    <d v="2026-09-25T00:00:00"/>
    <x v="1"/>
    <x v="0"/>
    <n v="850000000"/>
    <n v="850000000"/>
    <s v="Warm"/>
    <s v="telat submit karena delayed pricing"/>
    <s v="Big Truck Suppeq WT"/>
    <s v="Unit"/>
    <d v="2026-09-02T01:10:28"/>
    <d v="2026-09-23T01:42:4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50d9b29-c4a4-f111-aaad-000d3a8042c9"/>
    <s v="KChGALE7XARuSIcc08haUQ7U3KVjXuV4HDPbRhrLMAyh5cDaqn3K2AvjIBfTz20sk5rsxVqZjt+xezT+z9xu7g=="/>
    <d v="2026-09-28T02:02:06"/>
    <s v="OPTY-T/2684678"/>
    <s v="6x Vessel HD785 Mineral Hardox MAM"/>
    <s v="PT Merdeka Cooper Gold"/>
    <m/>
    <m/>
    <d v="2026-12-31T08:00:00"/>
    <s v="ADITYA RIZKY WASKITA WICAKSANA"/>
    <s v="Lost"/>
    <x v="3"/>
    <s v="Close Lost"/>
    <d v="2026-10-31T00:00:00"/>
    <x v="2"/>
    <x v="0"/>
    <n v="7200000000"/>
    <n v="7200000000"/>
    <s v="Warm"/>
    <s v="Change to PSR project"/>
    <s v="HD Vessel LV, Xpro &amp; Mud Vessel"/>
    <s v="Unit"/>
    <d v="2026-08-30T22:43:09"/>
    <d v="2026-09-28T02:02:06"/>
    <s v="Non 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694d4ac-e846-4eaf-a8e4-a8aec2d9c6c7"/>
    <s v="C2Zwf1rTmVApVT/Cq+LPptfayxrzYImxRmyitmVn0mALO4tiTrRfuYCr02gJJkcWtLCQ1SjRLt9ZYYYesA5q/A=="/>
    <d v="2026-09-28T01:03:58"/>
    <s v="OPTY-T/2684671"/>
    <s v="9 x WT50 SCCL"/>
    <s v="KOMATSU INDIA PRIVATE LIMITED"/>
    <n v="1"/>
    <n v="1900000000"/>
    <d v="2027-02-28T08:00:00"/>
    <s v="UMAR CHOLIDY"/>
    <s v="Lost"/>
    <x v="2"/>
    <s v="Close Lost"/>
    <d v="2026-12-31T00:00:00"/>
    <x v="0"/>
    <x v="0"/>
    <n v="26775000000"/>
    <n v="26775000000"/>
    <s v="Warm"/>
    <m/>
    <s v="Big Truck Suppeq WT"/>
    <s v="Unit"/>
    <d v="2026-08-26T06:48:04"/>
    <d v="2026-09-28T01:03:58"/>
    <s v="Non Coal Mining"/>
    <s v="Overse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58a40bd7-02a1-f111-b8de-000d3a8042c9"/>
    <s v="06xSsCDBw3SKDEPPBpZOGHawes+qAjCbSiAzUKL2JqontYp0meh2b1bXcxwVSKhCyu0R3opWrbwyqpQ4jRfYqw=="/>
    <d v="2026-09-14T01:34:18"/>
    <s v="OPTY-T/2684668"/>
    <s v="1x Clamshell 12 Cu.M"/>
    <s v="PATRIA MARITIME LINES."/>
    <m/>
    <m/>
    <d v="2026-12-25T08:00:00"/>
    <s v="MUHAMMAD RIZAL IBRAHIM #"/>
    <s v="Lost"/>
    <x v="3"/>
    <s v="Close Lost"/>
    <d v="2026-09-25T00:00:00"/>
    <x v="3"/>
    <x v="1"/>
    <n v="500000000"/>
    <n v="500000000"/>
    <s v="Warm"/>
    <m/>
    <s v="Attachment (Bucket)"/>
    <s v="Unit"/>
    <d v="2026-08-26T04:01:44"/>
    <d v="2026-09-14T01:34:1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412c6a3-6188-42ea-a78a-bc1d33c792d2"/>
    <s v="Sx7MZ01vAK70EWXlmKaVxsCxRLunw17gZM1GXISKvCP2c4Oj0o6qpONerF9PiFbp0MYMquXnN3KgEtyOmoPQjw=="/>
    <d v="2026-09-14T00:20:50"/>
    <s v="OPTY-T/2684667"/>
    <s v="1x PC125"/>
    <s v="PUTRA PERKASA ABADI."/>
    <m/>
    <m/>
    <d v="2026-11-30T08:00:00"/>
    <s v="FAJAR BAGUS PRATOMO"/>
    <s v="Lost"/>
    <x v="3"/>
    <s v="Close Lost"/>
    <d v="2026-09-28T00:00:00"/>
    <x v="4"/>
    <x v="1"/>
    <n v="2550000000"/>
    <n v="2550000000"/>
    <s v="Warm"/>
    <s v="Project Hold Bukan Cancelled, karena utilisasi bucket rotable sumatera ada 3 dari 4 site"/>
    <s v="Big Truck Suppeq WT"/>
    <s v="Unit"/>
    <d v="2026-08-24T03:57:52"/>
    <d v="2026-09-14T00:20:50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a03430a-2fe0-479a-84de-0daf8ae668ce"/>
    <s v="rA0fZoepMrQxurigXNJycIu5FODijO3PYans7vYfziDNKunI0qIZNdxQm7CaXJkKZWdL4iMclt9T/l+HrrppWA=="/>
    <d v="2026-09-14T00:21:28"/>
    <s v="OPTY-T/2684659"/>
    <s v="10x LS4-1400 BSA"/>
    <s v="BAHANA SELARAS ALAM."/>
    <m/>
    <m/>
    <d v="2026-10-01T08:00:00"/>
    <s v="FAJAR BAGUS PRATOMO"/>
    <s v="Lost"/>
    <x v="3"/>
    <s v="Close Lost"/>
    <d v="2026-09-25T00:00:00"/>
    <x v="4"/>
    <x v="1"/>
    <n v="2042000000"/>
    <n v="2042000000"/>
    <s v="Warm"/>
    <s v="Project Hold, Masih menunggu konfirmasi project dari Plant"/>
    <s v="Tower Lamp"/>
    <s v="Unit"/>
    <d v="2026-08-24T01:06:58"/>
    <d v="2026-09-14T00:21:2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5192188-fc79-496a-9233-bc57d277ef05"/>
    <s v="7Y+FCR0S0Ec0ryHNW0j8SLsprhaaEq8s6mQjOyNcA7WT93cZeFxHFSn3mfdJ2LB+Whg9vUkeMTZ0JeCeuesitQ=="/>
    <d v="2026-09-21T02:25:21"/>
    <s v="OPTY-T/2684658"/>
    <s v="2x Core Sampler GMP dan PSMI"/>
    <s v="Barlian Indo Technology"/>
    <m/>
    <m/>
    <d v="2027-01-23T08:00:00"/>
    <s v="ADITYA RIZKY WASKITA WICAKSANA"/>
    <s v="Lost"/>
    <x v="1"/>
    <s v="Close Lost"/>
    <d v="2026-09-30T00:00:00"/>
    <x v="5"/>
    <x v="2"/>
    <n v="6000000000"/>
    <n v="6000000000"/>
    <s v="Warm"/>
    <s v="Lost to Dedini with change just head probe"/>
    <s v="Core Sampler"/>
    <s v="Unit"/>
    <d v="2026-08-23T23:08:58"/>
    <d v="2026-09-21T02:25:21"/>
    <s v="Non Mining"/>
    <s v="Forestry &amp; Ag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a261b46-07f1-4fc2-a5d2-7d2c0d062d77"/>
    <s v="tAiUmTo/S1xKqm2DTCGNPpRYfOawUTc3jka0c6pQUdVfc3e2c8ggr/ZPDroTuWq/JkGBN7M2FjoVucZWnwcWvA=="/>
    <d v="2026-09-21T02:24:46"/>
    <s v="OPTY-T/2684657"/>
    <s v="1x Bucket PC2000 LIPS Plate 120 Rock Bucket (Bare Bcuket)"/>
    <s v="PT Merdeka Cooper Gold"/>
    <m/>
    <m/>
    <d v="2026-12-31T08:00:00"/>
    <s v="ADITYA RIZKY WASKITA WICAKSANA"/>
    <s v="Lost"/>
    <x v="1"/>
    <s v="Close Lost"/>
    <d v="2026-09-25T00:00:00"/>
    <x v="5"/>
    <x v="2"/>
    <n v="1200000000"/>
    <n v="1200000000"/>
    <s v="Warm"/>
    <s v="Warranty 18 Bulan"/>
    <s v="Attachment (Bucket)"/>
    <s v="Unit"/>
    <d v="2026-08-23T23:05:54"/>
    <d v="2026-09-21T02:24:46"/>
    <s v="Non 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c9231c4-50b1-4f67-bcfa-f9eb542aece2"/>
    <s v="wMwAUd+aB4XD6laBSqlTlFrhWGcfg+4hm1aXLRCBbMcOmU9feThPLl+sWsLLVAsThAthSzWt6art93/VGFKtsw=="/>
    <d v="2026-09-28T02:01:16"/>
    <s v="OPTY-T/2684637"/>
    <s v="Crusher 300 TPH UT ASC JKT"/>
    <s v="UNITED TRACTORS TBK."/>
    <m/>
    <m/>
    <m/>
    <s v="ADITYA RIZKY WASKITA WICAKSANA"/>
    <s v="Lost"/>
    <x v="2"/>
    <s v="Close Lost"/>
    <d v="2026-10-31T00:00:00"/>
    <x v="2"/>
    <x v="0"/>
    <n v="19000000000"/>
    <n v="19000000000"/>
    <s v="Warm"/>
    <s v="Arround 16 M"/>
    <m/>
    <s v="Unit"/>
    <d v="2026-08-10T03:29:23"/>
    <d v="2026-09-28T02:01:16"/>
    <s v="Non 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e17d3eb-9068-4696-beb9-fe078f2dee3c"/>
    <s v="ArNOn+y+D/NNM0amdm/GxmTzfRt2Fp7r24QaKIlkcxS5SxM8fMX1rxfySkwM058a6QtWh13B0jcMtWUCbXekhQ=="/>
    <d v="2026-09-11T07:06:51"/>
    <s v="OPTY-T/2684628"/>
    <s v="WST20KL_BUMA"/>
    <s v="BUKIT MAKMUR MANDIRI UTAMA."/>
    <m/>
    <m/>
    <d v="2026-10-30T08:00:00"/>
    <s v="RADITYA DWI NUGRAHA #"/>
    <s v="Lost"/>
    <x v="4"/>
    <s v="Close Lost"/>
    <d v="2026-09-27T00:00:00"/>
    <x v="6"/>
    <x v="3"/>
    <n v="800000000"/>
    <n v="0"/>
    <s v="Warm"/>
    <s v="Still Budgeting"/>
    <s v="Small/Medium Suppeq WT/WST"/>
    <s v="Unit"/>
    <d v="2026-08-05T08:18:49"/>
    <d v="2026-09-11T07:06:51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cb894f0-ec8c-f111-8077-00224819a50e"/>
    <s v="2m9pAD3AleJoLNcPrwtX5OyaCfRjbIy3KnQT/JdjceaJ71uXJVjQGaxKBQKaQyb9cmsz9pml2DMQjERFACyUnA=="/>
    <d v="2026-09-04T02:49:55"/>
    <s v="OPTY-T/2684547"/>
    <s v="2 X Crane Truck Amco Veba "/>
    <s v="KALIMANTAN PRIMA PERSADA."/>
    <m/>
    <m/>
    <m/>
    <s v="RIDHO NUZULLAH SUHAIB #"/>
    <s v="Lost"/>
    <x v="1"/>
    <s v="Close Lost"/>
    <d v="2026-11-30T00:00:00"/>
    <x v="7"/>
    <x v="3"/>
    <n v="2100000000"/>
    <n v="2100000000"/>
    <s v="Warm"/>
    <m/>
    <m/>
    <s v="Unit"/>
    <d v="2026-07-31T14:35:14"/>
    <d v="2026-09-04T02:49:55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8b894f0-ec8c-f111-8077-00224819a50e"/>
    <s v="u1+wA8Ru+CX/TvccyD4gAORjtcI+1mw56aeeQvFhuwRtOyd2skVbzu7MbKWKd+cZvhj+CrDP9wtYqrgZWFNxKw=="/>
    <d v="2026-09-07T00:49:19"/>
    <s v="OPTY-T/2684545"/>
    <s v="3 X LT-07 SCANIA P420CB DOUBLE CAB 6x6"/>
    <s v="KALIMANTAN PRIMA PERSADA."/>
    <m/>
    <m/>
    <m/>
    <s v="RIDHO NUZULLAH SUHAIB #"/>
    <s v="Lost"/>
    <x v="4"/>
    <s v="Close Lost"/>
    <d v="2026-09-30T00:00:00"/>
    <x v="8"/>
    <x v="3"/>
    <n v="4875000000"/>
    <n v="0"/>
    <s v="Warm"/>
    <m/>
    <m/>
    <s v="Unit"/>
    <d v="2026-07-31T14:35:09"/>
    <d v="2026-09-07T00:49:19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0b4c283f-6808-453e-bbfb-346574bbf481"/>
    <s v="E6FRbkIKWpzHvt+NV/+4EJxhAbkowAvN8nzW5LDiauiDZOMctxu15SwFCo8grYjsR4FL8K4GfoklWQLMGylfWw=="/>
    <d v="2026-09-21T02:18:39"/>
    <s v="OPTY-T/2684512"/>
    <s v="5x SDT90 Single Trailer"/>
    <s v="SINAR NIRWANA SARI"/>
    <m/>
    <m/>
    <m/>
    <s v="RIDHO AULIA RIVA #"/>
    <s v="Lost"/>
    <x v="5"/>
    <s v="Close Lost"/>
    <d v="2026-10-23T00:00:00"/>
    <x v="5"/>
    <x v="2"/>
    <n v="9000000000"/>
    <n v="0"/>
    <s v="Warm"/>
    <s v="unspecified close lost"/>
    <s v="Trailer Mining &amp; Logging"/>
    <s v="Unit"/>
    <d v="2026-07-26T13:43:11"/>
    <d v="2026-09-21T02:18:39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8ff28f66-a13d-4944-8a8b-a4380868652d"/>
    <s v="tunMclDM3Vh3LJnnANT9Usq9PBmeY8NZ8hFnav2t2cBF5yQYXPQG0z/ch7g8SMGhJCsj54qMHuIa4z2qFzNmww=="/>
    <d v="2026-09-13T15:01:02"/>
    <s v="OPTY-T/2684511"/>
    <s v="1x LS4-2000 TYRE"/>
    <s v="KIDECO JAYA AGUNG."/>
    <m/>
    <m/>
    <m/>
    <s v="RIDHO AULIA RIVA #"/>
    <s v="Lost"/>
    <x v="5"/>
    <s v="Close Lost"/>
    <d v="2026-09-11T00:00:00"/>
    <x v="4"/>
    <x v="1"/>
    <n v="240000000"/>
    <n v="0"/>
    <s v="Warm"/>
    <s v="need reconsiliation for actual demand"/>
    <s v="Tower Lamp"/>
    <s v="Unit"/>
    <d v="2026-07-26T13:34:09"/>
    <d v="2026-09-13T15:01:02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14b3a3b-7c7a-441a-a6fb-f2c1528f8a9e"/>
    <s v="P1FFUrk4XSgZyXkEn3MXjgli1IYB2Y+jGY4+MW3HH4Os8Ik61SkTs2SwEZmvvzKDyo/8CIoifHSXDKZgRtKeqQ=="/>
    <d v="2026-09-13T14:59:15"/>
    <s v="OPTY-T/2684510"/>
    <s v="1x FT30KL SITRAK"/>
    <s v="WIJAYA DAYA JAYA"/>
    <m/>
    <m/>
    <m/>
    <s v="RIDHO AULIA RIVA #"/>
    <s v="Lost"/>
    <x v="5"/>
    <s v="Close Lost"/>
    <d v="2026-09-30T00:00:00"/>
    <x v="4"/>
    <x v="1"/>
    <n v="800000000"/>
    <n v="0"/>
    <s v="Warm"/>
    <s v="need reconsiliation for actual demand"/>
    <s v="Small/Medium Suppeq FT"/>
    <s v="Unit"/>
    <d v="2026-07-26T13:31:27"/>
    <d v="2026-09-13T14:59:15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61d91d5a-04ac-4100-ab64-6203e8264483"/>
    <s v="DfnXQOZlcKQK1gDTmbKAGODoNkAR9BQT1Y9DbZvFyg3DPG66NsTud9amNdCVJ7nP5eRlHIRWN3V8HLsRII9HnQ=="/>
    <d v="2026-09-13T15:00:48"/>
    <s v="OPTY-T/2684509"/>
    <s v="1x LUBETRUCK SITRAK PTDH"/>
    <s v="WIJAYA DAYA JAYA"/>
    <m/>
    <m/>
    <m/>
    <s v="RIDHO AULIA RIVA #"/>
    <s v="Lost"/>
    <x v="5"/>
    <s v="Close Lost"/>
    <d v="2026-09-30T00:00:00"/>
    <x v="4"/>
    <x v="1"/>
    <n v="1400000000"/>
    <n v="0"/>
    <s v="Warm"/>
    <s v="need reconsiliation for actual demand"/>
    <s v="Small/Medium Suppeq Lubetruck"/>
    <s v="Unit"/>
    <d v="2026-07-26T13:29:09"/>
    <d v="2026-09-13T15:00:4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31d15d9-14c1-45bb-8983-90a491b60706"/>
    <s v="Oa9tldiY7F/r6r3PZi4gdEPY7DeYasBPT0c5n3QKJhIJ0JN/WhXs5I2geQSWRTjU6zZVGI38HD56L/YAL0MuOw=="/>
    <d v="2026-09-13T14:56:27"/>
    <s v="OPTY-T/2684508"/>
    <s v="2x WST20KL SITRAK PTDH"/>
    <s v="WIJAYA DAYA JAYA"/>
    <m/>
    <m/>
    <m/>
    <s v="RIDHO AULIA RIVA #"/>
    <s v="Lost"/>
    <x v="5"/>
    <s v="Close Lost"/>
    <d v="2026-09-30T00:00:00"/>
    <x v="4"/>
    <x v="1"/>
    <n v="1100000000"/>
    <n v="0"/>
    <s v="Warm"/>
    <s v="unfollowed up demand"/>
    <s v="Small/Medium Suppeq WT/WST"/>
    <s v="Unit"/>
    <d v="2026-07-26T13:23:25"/>
    <d v="2026-09-13T14:56:27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dfe6e7f-ec83-f111-ab0e-000d3a82e63d"/>
    <s v="T4UBwiUh16nt0F74dWOkCOm8MFRnZelBTG9P8veM6xkh/YivzPyHoDdElVQmMQTfbVtO2j4MlURvcuM25hH0BQ=="/>
    <d v="2026-09-13T14:52:42"/>
    <s v="OPTY-T/2684506"/>
    <s v="1x BUCKET XCMG XE2000 ESCO"/>
    <s v="DARMA HENWA TBK."/>
    <m/>
    <m/>
    <m/>
    <s v="RIDHO AULIA RIVA #"/>
    <s v="Lost"/>
    <x v="5"/>
    <s v="Close Lost"/>
    <d v="2026-09-30T00:00:00"/>
    <x v="4"/>
    <x v="1"/>
    <n v="1685000000"/>
    <n v="0"/>
    <s v="Warm"/>
    <s v="unfollowed up demand"/>
    <s v="Attachment (Bucket)"/>
    <s v="Unit"/>
    <d v="2026-07-20T03:38:42"/>
    <d v="2026-09-13T14:52:42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4b26ef0-e50d-45ea-99e6-906e5e30ad35"/>
    <s v="VpgVqQjgG0m5KSODGJGqhqsaocHoBN3HPmGa/Gy+CfGeWNs6QZpcxng4KBJXKj9i3zIRBM3LUBzEZQyRB1ErSg=="/>
    <d v="2026-09-13T14:55:53"/>
    <s v="OPTY-T/2684505"/>
    <s v="1x BUCKET XCMG XE1250 ESCO"/>
    <s v="DARMA HENWA TBK."/>
    <m/>
    <m/>
    <d v="2027-01-15T08:00:00"/>
    <s v="RIDHO AULIA RIVA #"/>
    <s v="Lost"/>
    <x v="5"/>
    <s v="Close Lost"/>
    <d v="2026-09-30T00:00:00"/>
    <x v="4"/>
    <x v="1"/>
    <n v="1345000000"/>
    <n v="0"/>
    <s v="Warm"/>
    <s v="unfollowed up demand"/>
    <s v="Attachment (Bucket)"/>
    <s v="Unit"/>
    <d v="2026-07-20T03:35:55"/>
    <d v="2026-09-13T14:55:53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4774eeb-d983-f111-ab0e-70a8a5037a08"/>
    <s v="tnix+GUf8WuJfzVrjZqMx+ItC8TDW6LwZXnxtwU4Bq098aJWM22HSdU8BEHV73ocOswYbUHp66Qhm+5UL47p9g=="/>
    <d v="2026-09-13T14:58:17"/>
    <s v="OPTY-T/2684497"/>
    <s v="10 x X-Pro Trailer SDT110-125"/>
    <s v="BAHTERA PUTERA NUSANTARA"/>
    <m/>
    <m/>
    <m/>
    <s v="RIDHO AULIA RIVA #"/>
    <s v="Lost"/>
    <x v="5"/>
    <s v="Close Lost"/>
    <d v="2026-09-30T00:00:00"/>
    <x v="4"/>
    <x v="1"/>
    <n v="40000000000"/>
    <n v="0"/>
    <s v="Warm"/>
    <s v="carry over"/>
    <s v="Trailer Mining &amp; Logging"/>
    <s v="Unit"/>
    <d v="2026-07-20T01:25:47"/>
    <d v="2026-09-13T14:58:17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0568d477-c913-4a11-b9a8-17070bbab064"/>
    <s v="K/HVMslsNroj8Tu3HWeG8fJQsQHskjk4VolawfADxmChhc7FD3S9Pny4NhNTTPE9sAw9YSGE8mWvVWIoZClNlQ=="/>
    <d v="2026-09-21T01:31:07"/>
    <s v="OPTY-T/2684485"/>
    <s v="300 tph Wheeled Crusher"/>
    <s v="WIDYA SAPTA CONTRACTOR"/>
    <m/>
    <m/>
    <d v="2026-12-31T08:00:00"/>
    <s v="REZA AJI NUR PRATAMA"/>
    <s v="Lost"/>
    <x v="0"/>
    <s v="Close Lost"/>
    <d v="2026-09-25T00:00:00"/>
    <x v="9"/>
    <x v="2"/>
    <n v="32178852"/>
    <n v="0"/>
    <s v="Warm"/>
    <m/>
    <s v="Crusher"/>
    <s v="Unit"/>
    <d v="2026-07-13T04:04:50"/>
    <d v="2026-09-21T01:31:07"/>
    <s v="Non 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ea41def-5d7e-f111-ab0f-70a8a50464e7"/>
    <s v="gtWBkh2JF3XQb0klCrrJ1VW/1gAdhrc3ua1RQ0LlAXMpfougr/7PHLNHxV9TLgAUJOnjsRd0CpjIlqvWhMHclQ=="/>
    <d v="2026-09-07T03:47:14"/>
    <s v="OPTY-T/2684483"/>
    <s v="3x Clamshell 16 Cu.M"/>
    <s v="PATRIA MARITIME LINES."/>
    <m/>
    <m/>
    <d v="2026-10-29T08:00:00"/>
    <s v="MUHAMMAD RIZAL IBRAHIM #"/>
    <s v="Lost"/>
    <x v="1"/>
    <s v="Close Lost"/>
    <d v="2026-11-27T00:00:00"/>
    <x v="8"/>
    <x v="3"/>
    <n v="3000000000"/>
    <n v="3000000000"/>
    <s v="Warm"/>
    <s v="Specification change"/>
    <s v="Attachment (Bucket)"/>
    <s v="Unit"/>
    <d v="2026-07-13T01:55:34"/>
    <d v="2026-09-07T03:47:14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af53c7f-5d7e-f111-ab0f-70a8a50464e7"/>
    <s v="MNNvTiJ63x0vmwQfliuMpgeJq9TP/IW5SpXNjwMFB6jm6pztlrHCjUlhljQeWYWxD9AgsMQnEFcV8i/GDxzT+Q=="/>
    <d v="2026-09-28T02:06:41"/>
    <s v="OPTY-T/2684480"/>
    <s v="1x Forklift 1,5 Ton (Reach Truck - 3 Way)"/>
    <s v="Pra dan Purnabakti Karyawan PT UTPE."/>
    <n v="1"/>
    <n v="752000000"/>
    <d v="2026-10-29T08:00:00"/>
    <s v="MUHAMMAD RIZAL IBRAHIM #"/>
    <s v="Lost"/>
    <x v="0"/>
    <s v="Close Lost"/>
    <d v="2026-10-29T00:00:00"/>
    <x v="0"/>
    <x v="0"/>
    <n v="752000000"/>
    <n v="752000000"/>
    <s v="Warm"/>
    <m/>
    <s v="Forklift"/>
    <s v="Unit"/>
    <d v="2026-07-13T01:52:28"/>
    <d v="2026-09-28T02:06:41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35ce315c-5d7e-f111-ab0f-70a8a50464e7"/>
    <s v="Cwa7QOThWwuk31ij6/KSui8vUfrM8guoZmU11aBuSHVvnQFZFprCna17Bx55TO9gnsYy2Jcay+bjU772Uw8iYw=="/>
    <d v="2026-09-14T02:37:39"/>
    <s v="OPTY-T/2684479"/>
    <s v="2x LBT 80 (Hino)"/>
    <s v="MITRA PROFITAMAS MOTOR."/>
    <m/>
    <m/>
    <d v="2026-12-31T08:00:00"/>
    <s v="MUHAMMAD RIZAL IBRAHIM #"/>
    <s v="Lost"/>
    <x v="3"/>
    <s v="Close Lost"/>
    <d v="2026-11-27T00:00:00"/>
    <x v="3"/>
    <x v="1"/>
    <n v="2850000000"/>
    <n v="2850000000"/>
    <s v="Warm"/>
    <m/>
    <s v="Trailer Mining &amp; Logging"/>
    <s v="Unit"/>
    <d v="2026-07-13T01:51:34"/>
    <d v="2026-09-14T02:37:39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47cd684-f5b7-4fa2-9d54-bad8d5728fe7"/>
    <s v="Lys5L7kEHhiREJsrfrXq/YsV8XS7hYUxSP6i3tn09IrcrtR3ExYgW/E8VEsOt0tgYZowfoXuJhrQ73Tz9RRJgw=="/>
    <d v="2026-09-17T03:32:05"/>
    <s v="OPTY-T/2684471"/>
    <s v="Fuel Bowser 2KL - Bayan Resources"/>
    <s v="BAYAN RESOURCES"/>
    <m/>
    <m/>
    <d v="2026-12-30T08:00:00"/>
    <s v="RADITYA DWI NUGRAHA #"/>
    <s v="Lost"/>
    <x v="3"/>
    <s v="Close Lost"/>
    <d v="2026-09-28T00:00:00"/>
    <x v="10"/>
    <x v="2"/>
    <n v="1400000000"/>
    <n v="1400000000"/>
    <s v="Warm"/>
    <m/>
    <s v="Small/Medium Suppeq FT"/>
    <s v="Unit"/>
    <d v="2026-07-13T01:27:39"/>
    <d v="2026-09-17T03:32:05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7952c64-027e-f111-ab0f-000d3a82716a"/>
    <s v="g0qKNSJUv1V6o6eY0cyQ2qIM2oQvkeJ2MBoOzPNRqEtfDJjrvKeAcKkN58KwTm9WTwNjykC9oi+ALLQQL6hRcA=="/>
    <d v="2026-09-09T09:28:38"/>
    <s v="OPTY-T/2684463"/>
    <s v="2x FT20 Quester CWE370"/>
    <s v="UNITED TRACTORS TBK."/>
    <m/>
    <m/>
    <m/>
    <s v="SHAFI AKMAL ZAIDAN #"/>
    <s v="Lost"/>
    <x v="3"/>
    <s v="Close Lost"/>
    <d v="2026-09-25T00:00:00"/>
    <x v="8"/>
    <x v="3"/>
    <n v="1600000000"/>
    <n v="1600000000"/>
    <s v="Warm"/>
    <s v="Truck lost to HINO"/>
    <m/>
    <s v="Unit"/>
    <d v="2026-07-12T15:00:24"/>
    <d v="2026-09-09T09:28:3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86ad437-17c1-4556-8c42-ea2277ea95d8"/>
    <s v="GoZ1jNczI0PGTz2fdGJNIsZzq+FkBtn7U2QZzUL1dR5vgRbAcIpXFEparZ2RUTt7yBUqrN18TFmJPgjdtg3yVg=="/>
    <d v="2026-09-07T00:36:13"/>
    <s v="OPTY-T/2684462"/>
    <s v="2x WT20 Quester CWE370"/>
    <s v="UNITED TRACTORS TBK."/>
    <m/>
    <m/>
    <m/>
    <s v="SHAFI AKMAL ZAIDAN #"/>
    <s v="Lost"/>
    <x v="3"/>
    <s v="Close Lost"/>
    <d v="2026-09-25T00:00:00"/>
    <x v="8"/>
    <x v="3"/>
    <n v="1500000000"/>
    <n v="1500000000"/>
    <s v="Warm"/>
    <m/>
    <m/>
    <s v="Unit"/>
    <d v="2026-07-12T15:00:19"/>
    <d v="2026-09-07T00:36:13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1cc6b75c-5ae6-4f94-ab43-ecdf3aaef065"/>
    <s v="dqKUCHPCZE0PICRLy5vkRyPo4tCA73xGQUSQ8rlvdgsooGDzaRxny2lX1zo9auAfeLsGjxuEcYFA/hc6TU8tIQ=="/>
    <d v="2026-09-21T02:00:56"/>
    <s v="OPTY-T/2684452"/>
    <s v="1 x Flatdeck NMRL"/>
    <s v="FREEPORT INDONESIA."/>
    <m/>
    <m/>
    <d v="2026-11-27T08:00:00"/>
    <s v="REZA AJI NUR PRATAMA"/>
    <s v="Lost"/>
    <x v="3"/>
    <s v="Close Lost"/>
    <d v="2026-09-22T00:00:00"/>
    <x v="9"/>
    <x v="2"/>
    <n v="180000000"/>
    <n v="180000000"/>
    <s v="Warm"/>
    <m/>
    <s v="Attachment"/>
    <s v="Unit"/>
    <d v="2026-07-10T07:26:17"/>
    <d v="2026-09-21T02:00:56"/>
    <s v="Non 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f8bb0b4-9c7a-f111-ab0e-70a8a50468d8"/>
    <s v="1CXXonupRr8kL47eAS0xPawovSOum5EZNkQBaSXMWuBFoI+0YrgIo5FIaxs+bFpE5rf6Fe28nhesWM6mCsZTUg=="/>
    <d v="2026-09-28T01:59:54"/>
    <s v="OPTY-T/2684451"/>
    <s v="2x CH1400 Powerscreen"/>
    <s v="Energi Unggul Persada"/>
    <m/>
    <m/>
    <m/>
    <s v="ADITYA RIZKY WASKITA WICAKSANA"/>
    <s v="Lost"/>
    <x v="3"/>
    <s v="Close Lost"/>
    <d v="2026-10-31T00:00:00"/>
    <x v="2"/>
    <x v="0"/>
    <n v="6000000000"/>
    <n v="6000000000"/>
    <s v="Warm"/>
    <s v="-"/>
    <m/>
    <s v="Unit"/>
    <d v="2026-07-08T07:14:50"/>
    <d v="2026-09-28T01:59:54"/>
    <s v="Non Mining"/>
    <s v="Forestry &amp; Ag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88aa72e-434b-4051-86ae-7386097e7628"/>
    <s v="x2Fh/QUPa28lDSBmLd8UaXNjhDOkZ3yd8TguhjGxtUjKd98Ya2uNJqtT5ogjVv1L99rLG1YbHTlYOEjYJ0Emsg=="/>
    <d v="2026-09-13T15:00:18"/>
    <s v="OPTY-T/2684442"/>
    <s v="1x WT50 CAT773"/>
    <s v="SIMS JAYA KALTIM."/>
    <m/>
    <m/>
    <m/>
    <s v="RIDHO AULIA RIVA #"/>
    <s v="Lost"/>
    <x v="5"/>
    <s v="Close Lost"/>
    <d v="2026-09-30T00:00:00"/>
    <x v="4"/>
    <x v="1"/>
    <n v="1700000000"/>
    <n v="0"/>
    <s v="Warm"/>
    <s v="carry over, masih dalam diskusi internal SIMS untuk decision new invest atau rekondisi eksisting unit"/>
    <s v="Big Truck Suppeq WT"/>
    <s v="Unit"/>
    <d v="2026-07-06T01:12:46"/>
    <d v="2026-09-13T15:00:1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21cc29b-8ddc-45bc-87cb-c27f47a6aaea"/>
    <s v="cTU2YnmlyWH0OInOCiKa9gd8+vNnbhqVzAKEQBBfdy2qtTxeETJV2p0cjr95ac6avO+eMn9FQhSYbS4Wzsnn1Q=="/>
    <d v="2026-09-07T00:36:13"/>
    <s v="OPTY-T/2684440"/>
    <s v="7x Manhauler 40 seats - CWE370"/>
    <s v="UNITED TRACTORS TBK."/>
    <m/>
    <m/>
    <m/>
    <s v="SHAFI AKMAL ZAIDAN #"/>
    <s v="Lost"/>
    <x v="3"/>
    <s v="Close Lost"/>
    <d v="2026-09-30T00:00:00"/>
    <x v="8"/>
    <x v="3"/>
    <n v="3500000000"/>
    <n v="3500000000"/>
    <s v="Warm"/>
    <m/>
    <m/>
    <s v="Unit"/>
    <d v="2026-07-06T01:00:43"/>
    <d v="2026-09-07T00:36:13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8b0a4561-a063-448f-9720-a0d17bb478f1"/>
    <s v="KAA2ITN1LLWDUkbEpQ/X6w+7rT0Nk0U2HfGodoIm2BREjBa0ygA2kbhtRsuIqH3NFAC9IMNofnBcOarbmW3HMg=="/>
    <d v="2026-09-07T03:48:19"/>
    <s v="OPTY-T/2684431"/>
    <s v="5x TV 35 (Nickle)"/>
    <s v="HINO MOTORS SALES INDONESIA."/>
    <m/>
    <m/>
    <d v="2026-10-29T08:00:00"/>
    <s v="MUHAMMAD RIZAL IBRAHIM #"/>
    <s v="Lost"/>
    <x v="4"/>
    <s v="Close Lost"/>
    <d v="2026-11-30T00:00:00"/>
    <x v="8"/>
    <x v="3"/>
    <n v="1520000000"/>
    <n v="1520000000"/>
    <s v="Warm"/>
    <s v="Project Pending"/>
    <s v="DVTV Kotak"/>
    <s v="Unit"/>
    <d v="2026-07-05T14:30:58"/>
    <d v="2026-09-07T03:48:19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0102c8df-7d78-f111-ab0f-70a8a5046367"/>
    <s v="pTGbmgXVZwYu5OOCqYeyvfv+06lNgW952wsVMPeHcu783uP0FVScLvLOUhDYt8efpDZlFo2xt/qRLlsaqJmP6Q=="/>
    <d v="2026-09-14T02:36:55"/>
    <s v="OPTY-T/2684430"/>
    <s v="2x Tire Truck (With crane 5 Ton)"/>
    <s v="Chandra Investa Prima"/>
    <m/>
    <m/>
    <d v="2026-11-30T08:00:00"/>
    <s v="MUHAMMAD RIZAL IBRAHIM #"/>
    <s v="Lost"/>
    <x v="3"/>
    <s v="Close Lost"/>
    <d v="2026-11-30T00:00:00"/>
    <x v="3"/>
    <x v="1"/>
    <n v="3200000000"/>
    <n v="3200000000"/>
    <s v="Warm"/>
    <m/>
    <s v="Attachment"/>
    <s v="Unit"/>
    <d v="2026-07-05T14:29:13"/>
    <d v="2026-09-14T02:36:55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39cbb1b1-7d78-f111-ab0f-70a8a5046367"/>
    <s v="+RbM5c50pz4P7HMIvBahSD1jPCgbxfDE7UaGIgQy8BbAvysTf69hpymZ8Ngwk7MTq1XdgVADxBuQ9nQnbGlUsw=="/>
    <d v="2026-09-07T02:11:13"/>
    <s v="OPTY-T/2684429"/>
    <s v="1x TV24 Gold (Hino)"/>
    <s v="MITRA PROFITAMAS MOTOR."/>
    <m/>
    <m/>
    <d v="2026-09-30T08:00:00"/>
    <s v="MUHAMMAD RIZAL IBRAHIM #"/>
    <s v="Lost"/>
    <x v="4"/>
    <s v="Close Lost"/>
    <d v="2026-09-30T00:00:00"/>
    <x v="8"/>
    <x v="3"/>
    <n v="320000000"/>
    <n v="320000000"/>
    <s v="Warm"/>
    <s v="Project Pending"/>
    <s v="DVTV Kotak"/>
    <s v="Unit"/>
    <d v="2026-07-05T14:27:49"/>
    <d v="2026-09-07T02:11:13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a980c54-6f1f-4d08-9885-ef17741ff1e9"/>
    <s v="dGpl+WPtW/KWT74jt74c1taZZMHZn1aR7PFf8GBOkfvfIvapLBkUvwSKkXui55zuWYTI7lK93VJJ9bOrXhzZJg=="/>
    <d v="2026-09-28T01:32:37"/>
    <s v="OPTY-T/2684416"/>
    <s v="5x MMT Anfo"/>
    <s v="DAHANA"/>
    <m/>
    <m/>
    <m/>
    <s v="RIDHO AULIA RIVA #"/>
    <s v="Lost"/>
    <x v="3"/>
    <s v="Close Lost"/>
    <d v="2026-11-27T00:00:00"/>
    <x v="2"/>
    <x v="0"/>
    <n v="35000000000"/>
    <n v="35000000000"/>
    <s v="Warm"/>
    <s v="target tahun invest tahun ini sudah maksimal masuk investasi tahun depan"/>
    <s v="Small/Medium Suppeq Lubetruck"/>
    <s v="Unit"/>
    <d v="2026-07-05T11:53:13"/>
    <d v="2026-09-28T01:32:37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9d76b7ce-00ca-4619-b624-c92460eafe85"/>
    <s v="K7d7RA+PLsEk/c7VFgra+gzEVPT8oMFtTDhXpmz27LSxzmHKanhK4+A0D4xOPBy8S8b/bpujTuuc8649i1DG2w=="/>
    <d v="2026-09-13T14:52:00"/>
    <s v="OPTY-T/2684415"/>
    <s v="2x Towerlamp LSH4-1400"/>
    <s v="KIDECO JAYA AGUNG."/>
    <m/>
    <m/>
    <m/>
    <s v="RIDHO AULIA RIVA #"/>
    <s v="Lost"/>
    <x v="5"/>
    <s v="Close Lost"/>
    <d v="2026-09-30T00:00:00"/>
    <x v="4"/>
    <x v="1"/>
    <n v="900000000"/>
    <n v="0"/>
    <s v="Warm"/>
    <s v="unfollowed up demand"/>
    <s v="Tower Lamp"/>
    <s v="Unit"/>
    <d v="2026-07-05T11:48:54"/>
    <d v="2026-09-13T14:52:00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134626d0-6536-4e88-ac7d-68702c7d5cfa"/>
    <s v="LyhOlQDTiF8HojGM2qkB2N82jtfYHdsZVo3njjupLiXJ59pQpUGDOXcHXHa1I5IWuAZ8F3nbPupqQGTdCZv0sw=="/>
    <d v="2026-09-21T02:26:45"/>
    <s v="OPTY-T/2684357"/>
    <s v="10 x SST100 Double Trailer EV Truck"/>
    <s v="UNGGUL DINAMIKA UTAMA"/>
    <m/>
    <m/>
    <m/>
    <s v="RIDHO AULIA RIVA #"/>
    <s v="Lost"/>
    <x v="5"/>
    <s v="Close Lost"/>
    <d v="2026-10-30T00:00:00"/>
    <x v="5"/>
    <x v="2"/>
    <n v="5000000000"/>
    <n v="0"/>
    <s v="Warm"/>
    <s v="usnpecified"/>
    <s v="Trailer Mining &amp; Logging"/>
    <s v="Unit"/>
    <d v="2026-06-08T06:48:19"/>
    <d v="2026-09-21T02:26:45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5a0c101-255e-f111-a826-000d3a80c037"/>
    <s v="4KShEgJ96TVwpX+THQIvZQxsFZ+2nj6hwf+CxvhKvNP9A/kwDTMnNjKZFLYbxOhEoE+eC71gdPk6Iad19vWJXQ=="/>
    <d v="2026-09-21T02:23:02"/>
    <s v="OPTY-T/2684338"/>
    <s v="5x SDT90 Single Trailer"/>
    <s v="TATA BARA UTAMA"/>
    <m/>
    <m/>
    <m/>
    <s v="RIDHO AULIA RIVA #"/>
    <s v="Lost"/>
    <x v="5"/>
    <s v="Close Lost"/>
    <d v="2026-10-30T00:00:00"/>
    <x v="5"/>
    <x v="2"/>
    <n v="9000000000"/>
    <n v="0"/>
    <s v="Warm"/>
    <s v="unspecified"/>
    <m/>
    <s v="Unit"/>
    <d v="2026-06-02T01:47:35"/>
    <d v="2026-09-21T02:23:02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dd01908-9747-f111-bec6-000d3a8617e0"/>
    <s v="AlS3CyMEFlu4njWRuWeJVj9m+b6jKCa0zsp5KA7LsWidpSyXA0BzcXSxaRldet5fEvH/O0tPCEP82Vv0yOOqGw=="/>
    <d v="2026-09-28T02:10:18"/>
    <s v="OPTY-T/2684291"/>
    <s v="20x Towerlamp (Hydrogen) - Site Papua Nugini"/>
    <s v="PETROSEA, TBK."/>
    <n v="20"/>
    <n v="240000000"/>
    <d v="2026-12-29T00:00:00"/>
    <s v="MUHAMMAD RIZAL IBRAHIM #"/>
    <s v="Lost"/>
    <x v="6"/>
    <s v="Close Lost"/>
    <d v="2026-12-31T00:00:00"/>
    <x v="0"/>
    <x v="0"/>
    <n v="6400000000"/>
    <n v="6400000000"/>
    <s v="Warm"/>
    <m/>
    <s v="Tower Lamp"/>
    <s v="Unit"/>
    <d v="2026-05-04T08:55:48"/>
    <d v="2026-09-28T02:10:18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58da1d9b-601b-f111-8342-000d3a85a2af"/>
    <s v="pLoilGpbnws8z2NSNxILXT1YtX7c77g2lBp5eiPqGZRSEUYOZtSB4b3lyUANMlCPKFtDsYVjD9JZYPXe16dg1Q=="/>
    <d v="2026-09-28T02:02:21"/>
    <s v="OPTY-T/2684184"/>
    <s v="1x Bare Bucket EX2000 (Exclude GET)"/>
    <s v="PETROSEA, TBK."/>
    <n v="1"/>
    <n v="1222000000"/>
    <d v="2026-12-30T00:00:00"/>
    <s v="MUHAMMAD RIZAL IBRAHIM #"/>
    <s v="Lost"/>
    <x v="0"/>
    <s v="Close Lost"/>
    <d v="2026-12-28T00:00:00"/>
    <x v="0"/>
    <x v="0"/>
    <n v="1200000000"/>
    <n v="1222000000"/>
    <s v="Warm"/>
    <m/>
    <s v="Attachment (Bucket)"/>
    <s v="Unit"/>
    <d v="2026-03-09T02:35:17"/>
    <d v="2026-09-28T02:02:21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893070d3-1300-45df-9eb1-583eb3a3048d"/>
    <s v="zGXhRZDOIHhjr5wIa/dZ413saW9Z+rLCgYhXT7ziNa4Y/IWSEX8OJjjCLmOph6ocinTGoaPjvOqs7fJb7vZv0Q=="/>
    <d v="2026-09-11T04:03:52"/>
    <s v="OPTY-T/2684152"/>
    <s v="Set Core Sampler dan Minilab RMI"/>
    <s v="Rejoso Manis Indo"/>
    <m/>
    <m/>
    <d v="2027-02-28T08:00:00"/>
    <s v="ADITYA RIZKY WASKITA WICAKSANA"/>
    <s v="Lost"/>
    <x v="3"/>
    <s v="Close Lost"/>
    <d v="2026-09-30T00:00:00"/>
    <x v="11"/>
    <x v="1"/>
    <n v="7000000000"/>
    <n v="7000000000"/>
    <s v="Warm"/>
    <s v="kebutuhan unit belum terlalu urgent"/>
    <s v="Core Sampler"/>
    <s v="Unit"/>
    <d v="2026-02-23T02:39:35"/>
    <d v="2026-09-11T04:03:52"/>
    <s v="Non Mining"/>
    <s v="Forestry &amp; Ag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03f83d5-68fa-f011-8406-70a8a502815d"/>
    <s v="drRh+jIe5AY4mapntFzxyZx9371YhZm9yXBOa+TsQHyfLZrp17e8iyfEpLRbXBNKCdwRutNImiGXWUFSwm0JlQ=="/>
    <d v="2026-09-07T03:48:54"/>
    <s v="OPTY-T/2684082"/>
    <s v="3x Bucket Loader WA 480 [MINEX]"/>
    <s v="PETROSEA, TBK."/>
    <m/>
    <m/>
    <d v="2026-10-28T08:00:00"/>
    <s v="MUHAMMAD RIZAL IBRAHIM #"/>
    <s v="Lost"/>
    <x v="4"/>
    <s v="Close Lost"/>
    <d v="2026-11-30T00:00:00"/>
    <x v="8"/>
    <x v="3"/>
    <n v="1280000000"/>
    <n v="1280000000"/>
    <s v="Warm"/>
    <s v="Project Pending"/>
    <s v="Attachment"/>
    <s v="Unit"/>
    <d v="2026-01-26T03:41:09"/>
    <d v="2026-09-07T03:48:54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17355058-2bec-f011-8406-70a8a5059421"/>
    <s v="DqVld/xo4IJy3A8POD/7BRZ6nmyi1izX4YhMr6sk8etexqXqP5tqdcC6ZaRBt09+NwUpAovVuUVqVCpdhIPbcw=="/>
    <d v="2026-09-07T03:33:32"/>
    <s v="OPTY-T/2683992"/>
    <s v="2x LBT 80 Ton"/>
    <s v="PETROSEA, TBK."/>
    <m/>
    <m/>
    <d v="2026-10-31T08:00:00"/>
    <s v="MUHAMMAD RIZAL IBRAHIM #"/>
    <s v="Lost"/>
    <x v="4"/>
    <s v="Close Lost"/>
    <d v="2026-10-31T00:00:00"/>
    <x v="8"/>
    <x v="3"/>
    <n v="3600000000"/>
    <n v="3600000000"/>
    <s v="Warm"/>
    <s v="Project Pending"/>
    <s v="FBT"/>
    <s v="Unit"/>
    <d v="2026-01-08T00:45:44"/>
    <d v="2026-09-07T03:33:32"/>
    <s v="Coal Mining"/>
    <s v="Min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7"/>
    <m/>
    <m/>
    <x v="1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6A811-7294-4937-9EAD-7A365E3A9AFD}" name="PivotTable1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3" firstHeaderRow="1" firstDataRow="2" firstDataCol="1"/>
  <pivotFields count="1638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0"/>
        <item x="2"/>
        <item x="1"/>
        <item x="3"/>
        <item x="4"/>
        <item x="7"/>
        <item t="default"/>
      </items>
    </pivotField>
    <pivotField showAll="0"/>
    <pivotField showAll="0"/>
    <pivotField showAll="0">
      <items count="14">
        <item x="6"/>
        <item x="7"/>
        <item x="8"/>
        <item x="11"/>
        <item x="4"/>
        <item x="3"/>
        <item x="10"/>
        <item x="5"/>
        <item x="9"/>
        <item x="1"/>
        <item x="2"/>
        <item x="0"/>
        <item x="12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st. Revenue" fld="16" baseField="0" baseItem="0"/>
  </dataFields>
  <formats count="2">
    <format dxfId="10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47" totalsRowShown="0">
  <autoFilter ref="A1:AA47" xr:uid="{00000000-0009-0000-0100-000001000000}"/>
  <tableColumns count="27">
    <tableColumn id="1" xr3:uid="{00000000-0010-0000-0000-000001000000}" name="(Do Not Modify) Opportunit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Opportunity ID"/>
    <tableColumn id="5" xr3:uid="{00000000-0010-0000-0000-000005000000}" name="Topic"/>
    <tableColumn id="6" xr3:uid="{00000000-0010-0000-0000-000006000000}" name="Potential Customer"/>
    <tableColumn id="7" xr3:uid="{00000000-0010-0000-0000-000007000000}" name="(c)  Quantity"/>
    <tableColumn id="8" xr3:uid="{00000000-0010-0000-0000-000008000000}" name="(c) Price/Unit"/>
    <tableColumn id="9" xr3:uid="{00000000-0010-0000-0000-000009000000}" name="(c) Est. Delivery Date"/>
    <tableColumn id="10" xr3:uid="{00000000-0010-0000-0000-00000A000000}" name="Owner"/>
    <tableColumn id="11" xr3:uid="{00000000-0010-0000-0000-00000B000000}" name="Status"/>
    <tableColumn id="12" xr3:uid="{00000000-0010-0000-0000-00000C000000}" name="Status Reason"/>
    <tableColumn id="13" xr3:uid="{00000000-0010-0000-0000-00000D000000}" name="Staging"/>
    <tableColumn id="14" xr3:uid="{00000000-0010-0000-0000-00000E000000}" name="Est. close date"/>
    <tableColumn id="15" xr3:uid="{00000000-0010-0000-0000-00000F000000}" name="Actual Close Date"/>
    <tableColumn id="26" xr3:uid="{1DD0CCBF-8C3A-4DB0-A5EE-24E46845C601}" name="Week" dataDxfId="8">
      <calculatedColumnFormula>"Week " &amp; INT((DAY(O2)-1)/7)+1</calculatedColumnFormula>
    </tableColumn>
    <tableColumn id="27" xr3:uid="{6B6C3D5D-1614-40A0-8498-E9BDD04CEA91}" name="Column1" dataDxfId="9"/>
    <tableColumn id="16" xr3:uid="{00000000-0010-0000-0000-000010000000}" name="Est. Revenue"/>
    <tableColumn id="17" xr3:uid="{00000000-0010-0000-0000-000011000000}" name="Actual Revenue"/>
    <tableColumn id="18" xr3:uid="{00000000-0010-0000-0000-000012000000}" name="Rating"/>
    <tableColumn id="19" xr3:uid="{00000000-0010-0000-0000-000013000000}" name="(c) Reason Close Lost"/>
    <tableColumn id="20" xr3:uid="{00000000-0010-0000-0000-000014000000}" name="Product Sub Group"/>
    <tableColumn id="21" xr3:uid="{00000000-0010-0000-0000-000015000000}" name="Transaction Type"/>
    <tableColumn id="22" xr3:uid="{00000000-0010-0000-0000-000016000000}" name="Created On"/>
    <tableColumn id="23" xr3:uid="{00000000-0010-0000-0000-000017000000}" name="Modified On"/>
    <tableColumn id="24" xr3:uid="{00000000-0010-0000-0000-000018000000}" name="Business Sector"/>
    <tableColumn id="25" xr3:uid="{00000000-0010-0000-0000-000019000000}" name="Business 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A47"/>
  <sheetViews>
    <sheetView topLeftCell="N21" zoomScale="63" zoomScaleNormal="73" workbookViewId="0">
      <selection activeCell="S48" sqref="S48"/>
    </sheetView>
  </sheetViews>
  <sheetFormatPr defaultRowHeight="14.4" x14ac:dyDescent="0.3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  <col min="8" max="8" width="28" style="4" customWidth="1"/>
    <col min="9" max="9" width="28" style="5" customWidth="1"/>
    <col min="10" max="10" width="28" customWidth="1"/>
    <col min="11" max="13" width="28" style="1" customWidth="1"/>
    <col min="14" max="17" width="28" style="5" customWidth="1"/>
    <col min="18" max="19" width="28" style="4" customWidth="1"/>
    <col min="20" max="20" width="28" style="1" customWidth="1"/>
    <col min="21" max="21" width="53.33203125" style="1" customWidth="1"/>
    <col min="22" max="23" width="28" style="1" customWidth="1"/>
    <col min="24" max="25" width="28" style="2" customWidth="1"/>
    <col min="26" max="27" width="28" style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331</v>
      </c>
      <c r="Q1" t="s">
        <v>330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">
      <c r="A2" t="s">
        <v>25</v>
      </c>
      <c r="B2" s="1" t="s">
        <v>26</v>
      </c>
      <c r="C2" s="2">
        <v>46293.118611111102</v>
      </c>
      <c r="D2" s="1" t="s">
        <v>27</v>
      </c>
      <c r="E2" s="1" t="s">
        <v>28</v>
      </c>
      <c r="F2" s="1" t="s">
        <v>29</v>
      </c>
      <c r="G2" s="3">
        <v>8</v>
      </c>
      <c r="H2" s="4">
        <v>1149000000</v>
      </c>
      <c r="I2" s="5">
        <v>46469.333333333299</v>
      </c>
      <c r="J2" t="s">
        <v>30</v>
      </c>
      <c r="K2" s="1" t="s">
        <v>31</v>
      </c>
      <c r="L2" s="1" t="s">
        <v>32</v>
      </c>
      <c r="M2" s="1" t="s">
        <v>33</v>
      </c>
      <c r="N2" s="5">
        <v>46379</v>
      </c>
      <c r="O2" s="5">
        <v>46293</v>
      </c>
      <c r="P2" s="5" t="str">
        <f t="shared" ref="P2:P47" si="0">"Week " &amp; INT((DAY(O2)-1)/7)+1</f>
        <v>Week 4</v>
      </c>
      <c r="R2" s="4">
        <v>9192000000</v>
      </c>
      <c r="S2" s="4">
        <v>0</v>
      </c>
      <c r="T2" s="1" t="s">
        <v>34</v>
      </c>
      <c r="V2" s="1" t="s">
        <v>35</v>
      </c>
      <c r="W2" s="1" t="s">
        <v>36</v>
      </c>
      <c r="X2" s="2">
        <v>46286.058831018498</v>
      </c>
      <c r="Y2" s="2">
        <v>46293.118611111102</v>
      </c>
      <c r="Z2" s="1" t="s">
        <v>37</v>
      </c>
      <c r="AA2" s="1" t="s">
        <v>38</v>
      </c>
    </row>
    <row r="3" spans="1:27" x14ac:dyDescent="0.3">
      <c r="A3" t="s">
        <v>39</v>
      </c>
      <c r="B3" s="1" t="s">
        <v>40</v>
      </c>
      <c r="C3" s="2">
        <v>46288.060891203699</v>
      </c>
      <c r="D3" s="1" t="s">
        <v>41</v>
      </c>
      <c r="E3" s="1" t="s">
        <v>42</v>
      </c>
      <c r="F3" s="1" t="s">
        <v>43</v>
      </c>
      <c r="I3" s="5">
        <v>46295.333333333299</v>
      </c>
      <c r="J3" t="s">
        <v>44</v>
      </c>
      <c r="K3" s="1" t="s">
        <v>31</v>
      </c>
      <c r="L3" s="1" t="s">
        <v>45</v>
      </c>
      <c r="M3" s="1" t="s">
        <v>33</v>
      </c>
      <c r="N3" s="5">
        <v>46290</v>
      </c>
      <c r="O3" s="5">
        <v>46287</v>
      </c>
      <c r="P3" s="5" t="str">
        <f t="shared" si="0"/>
        <v>Week 4</v>
      </c>
      <c r="R3" s="4">
        <v>1550000000</v>
      </c>
      <c r="S3" s="4">
        <v>1550000000</v>
      </c>
      <c r="T3" s="1" t="s">
        <v>34</v>
      </c>
      <c r="U3" s="1" t="s">
        <v>46</v>
      </c>
      <c r="V3" s="1" t="s">
        <v>47</v>
      </c>
      <c r="W3" s="1" t="s">
        <v>36</v>
      </c>
      <c r="X3" s="2">
        <v>46272.054432870398</v>
      </c>
      <c r="Y3" s="2">
        <v>46288.060891203699</v>
      </c>
      <c r="Z3" s="1" t="s">
        <v>48</v>
      </c>
      <c r="AA3" s="1" t="s">
        <v>49</v>
      </c>
    </row>
    <row r="4" spans="1:27" x14ac:dyDescent="0.3">
      <c r="A4" t="s">
        <v>50</v>
      </c>
      <c r="B4" s="1" t="s">
        <v>51</v>
      </c>
      <c r="C4" s="2">
        <v>46288.062881944403</v>
      </c>
      <c r="D4" s="1" t="s">
        <v>52</v>
      </c>
      <c r="E4" s="1" t="s">
        <v>53</v>
      </c>
      <c r="F4" s="1" t="s">
        <v>43</v>
      </c>
      <c r="I4" s="5">
        <v>46320.333333333299</v>
      </c>
      <c r="J4" t="s">
        <v>44</v>
      </c>
      <c r="K4" s="1" t="s">
        <v>31</v>
      </c>
      <c r="L4" s="1" t="s">
        <v>45</v>
      </c>
      <c r="M4" s="1" t="s">
        <v>33</v>
      </c>
      <c r="N4" s="5">
        <v>46290</v>
      </c>
      <c r="O4" s="5">
        <v>46287</v>
      </c>
      <c r="P4" s="5" t="str">
        <f t="shared" si="0"/>
        <v>Week 4</v>
      </c>
      <c r="R4" s="4">
        <v>1500000000</v>
      </c>
      <c r="S4" s="4">
        <v>1500000000</v>
      </c>
      <c r="T4" s="1" t="s">
        <v>34</v>
      </c>
      <c r="U4" s="1" t="s">
        <v>54</v>
      </c>
      <c r="V4" s="1" t="s">
        <v>55</v>
      </c>
      <c r="W4" s="1" t="s">
        <v>36</v>
      </c>
      <c r="X4" s="2">
        <v>46272.026331018496</v>
      </c>
      <c r="Y4" s="2">
        <v>46288.062881944403</v>
      </c>
      <c r="Z4" s="1" t="s">
        <v>37</v>
      </c>
      <c r="AA4" s="1" t="s">
        <v>49</v>
      </c>
    </row>
    <row r="5" spans="1:27" x14ac:dyDescent="0.3">
      <c r="A5" t="s">
        <v>56</v>
      </c>
      <c r="B5" s="1" t="s">
        <v>57</v>
      </c>
      <c r="C5" s="2">
        <v>46288.0713888889</v>
      </c>
      <c r="D5" s="1" t="s">
        <v>58</v>
      </c>
      <c r="E5" s="1" t="s">
        <v>59</v>
      </c>
      <c r="F5" s="1" t="s">
        <v>60</v>
      </c>
      <c r="I5" s="5">
        <v>46409.333333333299</v>
      </c>
      <c r="J5" t="s">
        <v>61</v>
      </c>
      <c r="K5" s="1" t="s">
        <v>31</v>
      </c>
      <c r="L5" s="1" t="s">
        <v>62</v>
      </c>
      <c r="M5" s="1" t="s">
        <v>33</v>
      </c>
      <c r="N5" s="5">
        <v>46290</v>
      </c>
      <c r="O5" s="5">
        <v>46287</v>
      </c>
      <c r="P5" s="5" t="str">
        <f t="shared" si="0"/>
        <v>Week 4</v>
      </c>
      <c r="R5" s="4">
        <v>850000000</v>
      </c>
      <c r="S5" s="4">
        <v>850000000</v>
      </c>
      <c r="T5" s="1" t="s">
        <v>34</v>
      </c>
      <c r="U5" s="1" t="s">
        <v>63</v>
      </c>
      <c r="V5" s="1" t="s">
        <v>64</v>
      </c>
      <c r="W5" s="1" t="s">
        <v>36</v>
      </c>
      <c r="X5" s="2">
        <v>46267.048935185201</v>
      </c>
      <c r="Y5" s="2">
        <v>46288.0713888889</v>
      </c>
      <c r="Z5" s="1" t="s">
        <v>37</v>
      </c>
      <c r="AA5" s="1" t="s">
        <v>49</v>
      </c>
    </row>
    <row r="6" spans="1:27" x14ac:dyDescent="0.3">
      <c r="A6" t="s">
        <v>65</v>
      </c>
      <c r="B6" s="1" t="s">
        <v>66</v>
      </c>
      <c r="C6" s="2">
        <v>46293.084791666697</v>
      </c>
      <c r="D6" s="1" t="s">
        <v>67</v>
      </c>
      <c r="E6" s="1" t="s">
        <v>68</v>
      </c>
      <c r="F6" s="1" t="s">
        <v>69</v>
      </c>
      <c r="I6" s="5">
        <v>46387.333333333299</v>
      </c>
      <c r="J6" t="s">
        <v>70</v>
      </c>
      <c r="K6" s="1" t="s">
        <v>31</v>
      </c>
      <c r="L6" s="1" t="s">
        <v>71</v>
      </c>
      <c r="M6" s="1" t="s">
        <v>33</v>
      </c>
      <c r="N6" s="5">
        <v>46326</v>
      </c>
      <c r="O6" s="5">
        <v>46292</v>
      </c>
      <c r="P6" s="5" t="str">
        <f t="shared" si="0"/>
        <v>Week 4</v>
      </c>
      <c r="R6" s="4">
        <v>7200000000</v>
      </c>
      <c r="S6" s="4">
        <v>7200000000</v>
      </c>
      <c r="T6" s="1" t="s">
        <v>34</v>
      </c>
      <c r="U6" s="1" t="s">
        <v>72</v>
      </c>
      <c r="V6" s="1" t="s">
        <v>47</v>
      </c>
      <c r="W6" s="1" t="s">
        <v>36</v>
      </c>
      <c r="X6" s="2">
        <v>46264.946631944404</v>
      </c>
      <c r="Y6" s="2">
        <v>46293.084791666697</v>
      </c>
      <c r="Z6" s="1" t="s">
        <v>48</v>
      </c>
      <c r="AA6" s="1" t="s">
        <v>49</v>
      </c>
    </row>
    <row r="7" spans="1:27" x14ac:dyDescent="0.3">
      <c r="A7" t="s">
        <v>73</v>
      </c>
      <c r="B7" s="1" t="s">
        <v>74</v>
      </c>
      <c r="C7" s="2">
        <v>46293.044421296298</v>
      </c>
      <c r="D7" s="1" t="s">
        <v>75</v>
      </c>
      <c r="E7" s="1" t="s">
        <v>76</v>
      </c>
      <c r="F7" s="1" t="s">
        <v>77</v>
      </c>
      <c r="G7" s="3">
        <v>1</v>
      </c>
      <c r="H7" s="4">
        <v>1900000000</v>
      </c>
      <c r="I7" s="5">
        <v>46446.333333333299</v>
      </c>
      <c r="J7" t="s">
        <v>78</v>
      </c>
      <c r="K7" s="1" t="s">
        <v>31</v>
      </c>
      <c r="L7" s="1" t="s">
        <v>62</v>
      </c>
      <c r="M7" s="1" t="s">
        <v>33</v>
      </c>
      <c r="N7" s="5">
        <v>46387</v>
      </c>
      <c r="O7" s="5">
        <v>46293</v>
      </c>
      <c r="P7" s="5" t="str">
        <f t="shared" si="0"/>
        <v>Week 4</v>
      </c>
      <c r="R7" s="4">
        <v>26775000000</v>
      </c>
      <c r="S7" s="4">
        <v>26775000000</v>
      </c>
      <c r="T7" s="1" t="s">
        <v>34</v>
      </c>
      <c r="V7" s="1" t="s">
        <v>64</v>
      </c>
      <c r="W7" s="1" t="s">
        <v>36</v>
      </c>
      <c r="X7" s="2">
        <v>46260.283379629604</v>
      </c>
      <c r="Y7" s="2">
        <v>46293.044421296298</v>
      </c>
      <c r="Z7" s="1" t="s">
        <v>48</v>
      </c>
      <c r="AA7" s="1" t="s">
        <v>79</v>
      </c>
    </row>
    <row r="8" spans="1:27" x14ac:dyDescent="0.3">
      <c r="A8" t="s">
        <v>80</v>
      </c>
      <c r="B8" s="1" t="s">
        <v>81</v>
      </c>
      <c r="C8" s="2">
        <v>46279.065486111103</v>
      </c>
      <c r="D8" s="1" t="s">
        <v>82</v>
      </c>
      <c r="E8" s="1" t="s">
        <v>83</v>
      </c>
      <c r="F8" s="1" t="s">
        <v>84</v>
      </c>
      <c r="I8" s="5">
        <v>46381.333333333299</v>
      </c>
      <c r="J8" t="s">
        <v>85</v>
      </c>
      <c r="K8" s="1" t="s">
        <v>31</v>
      </c>
      <c r="L8" s="1" t="s">
        <v>71</v>
      </c>
      <c r="M8" s="1" t="s">
        <v>33</v>
      </c>
      <c r="N8" s="5">
        <v>46290</v>
      </c>
      <c r="O8" s="5">
        <v>46279</v>
      </c>
      <c r="P8" s="5" t="str">
        <f t="shared" si="0"/>
        <v>Week 2</v>
      </c>
      <c r="R8" s="4">
        <v>500000000</v>
      </c>
      <c r="S8" s="4">
        <v>500000000</v>
      </c>
      <c r="T8" s="1" t="s">
        <v>34</v>
      </c>
      <c r="V8" s="1" t="s">
        <v>86</v>
      </c>
      <c r="W8" s="1" t="s">
        <v>36</v>
      </c>
      <c r="X8" s="2">
        <v>46260.167870370402</v>
      </c>
      <c r="Y8" s="2">
        <v>46279.065486111103</v>
      </c>
      <c r="Z8" s="1" t="s">
        <v>37</v>
      </c>
      <c r="AA8" s="1" t="s">
        <v>49</v>
      </c>
    </row>
    <row r="9" spans="1:27" x14ac:dyDescent="0.3">
      <c r="A9" t="s">
        <v>87</v>
      </c>
      <c r="B9" s="1" t="s">
        <v>88</v>
      </c>
      <c r="C9" s="2">
        <v>46279.014467592599</v>
      </c>
      <c r="D9" s="1" t="s">
        <v>89</v>
      </c>
      <c r="E9" s="1" t="s">
        <v>90</v>
      </c>
      <c r="F9" s="1" t="s">
        <v>91</v>
      </c>
      <c r="I9" s="5">
        <v>46356.333333333299</v>
      </c>
      <c r="J9" t="s">
        <v>92</v>
      </c>
      <c r="K9" s="1" t="s">
        <v>31</v>
      </c>
      <c r="L9" s="1" t="s">
        <v>71</v>
      </c>
      <c r="M9" s="1" t="s">
        <v>33</v>
      </c>
      <c r="N9" s="5">
        <v>46293</v>
      </c>
      <c r="O9" s="5">
        <v>46278</v>
      </c>
      <c r="P9" s="5" t="str">
        <f t="shared" si="0"/>
        <v>Week 2</v>
      </c>
      <c r="R9" s="4">
        <v>2550000000</v>
      </c>
      <c r="S9" s="4">
        <v>2550000000</v>
      </c>
      <c r="T9" s="1" t="s">
        <v>34</v>
      </c>
      <c r="U9" s="1" t="s">
        <v>93</v>
      </c>
      <c r="V9" s="1" t="s">
        <v>64</v>
      </c>
      <c r="W9" s="1" t="s">
        <v>36</v>
      </c>
      <c r="X9" s="2">
        <v>46258.1651851852</v>
      </c>
      <c r="Y9" s="2">
        <v>46279.014467592599</v>
      </c>
      <c r="Z9" s="1" t="s">
        <v>37</v>
      </c>
      <c r="AA9" s="1" t="s">
        <v>49</v>
      </c>
    </row>
    <row r="10" spans="1:27" x14ac:dyDescent="0.3">
      <c r="A10" t="s">
        <v>94</v>
      </c>
      <c r="B10" s="1" t="s">
        <v>95</v>
      </c>
      <c r="C10" s="2">
        <v>46279.0149074074</v>
      </c>
      <c r="D10" s="1" t="s">
        <v>96</v>
      </c>
      <c r="E10" s="1" t="s">
        <v>97</v>
      </c>
      <c r="F10" s="1" t="s">
        <v>98</v>
      </c>
      <c r="I10" s="5">
        <v>46296.333333333299</v>
      </c>
      <c r="J10" t="s">
        <v>92</v>
      </c>
      <c r="K10" s="1" t="s">
        <v>31</v>
      </c>
      <c r="L10" s="1" t="s">
        <v>71</v>
      </c>
      <c r="M10" s="1" t="s">
        <v>33</v>
      </c>
      <c r="N10" s="5">
        <v>46290</v>
      </c>
      <c r="O10" s="5">
        <v>46278</v>
      </c>
      <c r="P10" s="5" t="str">
        <f t="shared" si="0"/>
        <v>Week 2</v>
      </c>
      <c r="R10" s="4">
        <v>2042000000</v>
      </c>
      <c r="S10" s="4">
        <v>2042000000</v>
      </c>
      <c r="T10" s="1" t="s">
        <v>34</v>
      </c>
      <c r="U10" s="1" t="s">
        <v>99</v>
      </c>
      <c r="V10" s="1" t="s">
        <v>100</v>
      </c>
      <c r="W10" s="1" t="s">
        <v>36</v>
      </c>
      <c r="X10" s="2">
        <v>46258.046504629601</v>
      </c>
      <c r="Y10" s="2">
        <v>46279.0149074074</v>
      </c>
      <c r="Z10" s="1" t="s">
        <v>37</v>
      </c>
      <c r="AA10" s="1" t="s">
        <v>49</v>
      </c>
    </row>
    <row r="11" spans="1:27" x14ac:dyDescent="0.3">
      <c r="A11" t="s">
        <v>101</v>
      </c>
      <c r="B11" s="1" t="s">
        <v>102</v>
      </c>
      <c r="C11" s="2">
        <v>46286.100937499999</v>
      </c>
      <c r="D11" s="1" t="s">
        <v>103</v>
      </c>
      <c r="E11" s="1" t="s">
        <v>104</v>
      </c>
      <c r="F11" s="1" t="s">
        <v>105</v>
      </c>
      <c r="I11" s="5">
        <v>46410.333333333299</v>
      </c>
      <c r="J11" t="s">
        <v>70</v>
      </c>
      <c r="K11" s="1" t="s">
        <v>31</v>
      </c>
      <c r="L11" s="1" t="s">
        <v>45</v>
      </c>
      <c r="M11" s="1" t="s">
        <v>33</v>
      </c>
      <c r="N11" s="5">
        <v>46295</v>
      </c>
      <c r="O11" s="5">
        <v>46285</v>
      </c>
      <c r="P11" s="5" t="str">
        <f t="shared" si="0"/>
        <v>Week 3</v>
      </c>
      <c r="R11" s="4">
        <v>6000000000</v>
      </c>
      <c r="S11" s="4">
        <v>6000000000</v>
      </c>
      <c r="T11" s="1" t="s">
        <v>34</v>
      </c>
      <c r="U11" s="1" t="s">
        <v>106</v>
      </c>
      <c r="V11" s="1" t="s">
        <v>107</v>
      </c>
      <c r="W11" s="1" t="s">
        <v>36</v>
      </c>
      <c r="X11" s="2">
        <v>46257.964560185203</v>
      </c>
      <c r="Y11" s="2">
        <v>46286.100937499999</v>
      </c>
      <c r="Z11" s="1" t="s">
        <v>108</v>
      </c>
      <c r="AA11" s="1" t="s">
        <v>109</v>
      </c>
    </row>
    <row r="12" spans="1:27" x14ac:dyDescent="0.3">
      <c r="A12" t="s">
        <v>110</v>
      </c>
      <c r="B12" s="1" t="s">
        <v>111</v>
      </c>
      <c r="C12" s="2">
        <v>46286.100532407399</v>
      </c>
      <c r="D12" s="1" t="s">
        <v>112</v>
      </c>
      <c r="E12" s="1" t="s">
        <v>113</v>
      </c>
      <c r="F12" s="1" t="s">
        <v>69</v>
      </c>
      <c r="I12" s="5">
        <v>46387.333333333299</v>
      </c>
      <c r="J12" t="s">
        <v>70</v>
      </c>
      <c r="K12" s="1" t="s">
        <v>31</v>
      </c>
      <c r="L12" s="1" t="s">
        <v>45</v>
      </c>
      <c r="M12" s="1" t="s">
        <v>33</v>
      </c>
      <c r="N12" s="5">
        <v>46290</v>
      </c>
      <c r="O12" s="5">
        <v>46285</v>
      </c>
      <c r="P12" s="5" t="str">
        <f t="shared" si="0"/>
        <v>Week 3</v>
      </c>
      <c r="R12" s="4">
        <v>1200000000</v>
      </c>
      <c r="S12" s="4">
        <v>1200000000</v>
      </c>
      <c r="T12" s="1" t="s">
        <v>34</v>
      </c>
      <c r="U12" s="1" t="s">
        <v>114</v>
      </c>
      <c r="V12" s="1" t="s">
        <v>86</v>
      </c>
      <c r="W12" s="1" t="s">
        <v>36</v>
      </c>
      <c r="X12" s="2">
        <v>46257.962430555599</v>
      </c>
      <c r="Y12" s="2">
        <v>46286.100532407399</v>
      </c>
      <c r="Z12" s="1" t="s">
        <v>48</v>
      </c>
      <c r="AA12" s="1" t="s">
        <v>49</v>
      </c>
    </row>
    <row r="13" spans="1:27" x14ac:dyDescent="0.3">
      <c r="A13" t="s">
        <v>115</v>
      </c>
      <c r="B13" s="1" t="s">
        <v>116</v>
      </c>
      <c r="C13" s="2">
        <v>46293.084212962996</v>
      </c>
      <c r="D13" s="1" t="s">
        <v>117</v>
      </c>
      <c r="E13" s="1" t="s">
        <v>118</v>
      </c>
      <c r="F13" s="1" t="s">
        <v>43</v>
      </c>
      <c r="J13" t="s">
        <v>70</v>
      </c>
      <c r="K13" s="1" t="s">
        <v>31</v>
      </c>
      <c r="L13" s="1" t="s">
        <v>62</v>
      </c>
      <c r="M13" s="1" t="s">
        <v>33</v>
      </c>
      <c r="N13" s="5">
        <v>46326</v>
      </c>
      <c r="O13" s="5">
        <v>46292</v>
      </c>
      <c r="P13" s="5" t="str">
        <f t="shared" si="0"/>
        <v>Week 4</v>
      </c>
      <c r="R13" s="4">
        <v>19000000000</v>
      </c>
      <c r="S13" s="4">
        <v>19000000000</v>
      </c>
      <c r="T13" s="1" t="s">
        <v>34</v>
      </c>
      <c r="U13" s="1" t="s">
        <v>119</v>
      </c>
      <c r="W13" s="1" t="s">
        <v>36</v>
      </c>
      <c r="X13" s="2">
        <v>46244.145405092597</v>
      </c>
      <c r="Y13" s="2">
        <v>46293.084212962996</v>
      </c>
      <c r="Z13" s="1" t="s">
        <v>48</v>
      </c>
      <c r="AA13" s="1" t="s">
        <v>49</v>
      </c>
    </row>
    <row r="14" spans="1:27" x14ac:dyDescent="0.3">
      <c r="A14" t="s">
        <v>120</v>
      </c>
      <c r="B14" s="1" t="s">
        <v>121</v>
      </c>
      <c r="C14" s="2">
        <v>46276.2964236111</v>
      </c>
      <c r="D14" s="1" t="s">
        <v>122</v>
      </c>
      <c r="E14" s="1" t="s">
        <v>123</v>
      </c>
      <c r="F14" s="1" t="s">
        <v>124</v>
      </c>
      <c r="I14" s="5">
        <v>46325.333333333299</v>
      </c>
      <c r="J14" t="s">
        <v>125</v>
      </c>
      <c r="K14" s="1" t="s">
        <v>31</v>
      </c>
      <c r="L14" s="1" t="s">
        <v>126</v>
      </c>
      <c r="M14" s="1" t="s">
        <v>33</v>
      </c>
      <c r="N14" s="5">
        <v>46292</v>
      </c>
      <c r="O14" s="5">
        <v>46266</v>
      </c>
      <c r="P14" s="5" t="str">
        <f t="shared" si="0"/>
        <v>Week 1</v>
      </c>
      <c r="R14" s="4">
        <v>800000000</v>
      </c>
      <c r="S14" s="4">
        <v>0</v>
      </c>
      <c r="T14" s="1" t="s">
        <v>34</v>
      </c>
      <c r="U14" s="1" t="s">
        <v>127</v>
      </c>
      <c r="V14" s="1" t="s">
        <v>128</v>
      </c>
      <c r="W14" s="1" t="s">
        <v>36</v>
      </c>
      <c r="X14" s="2">
        <v>46239.346400463</v>
      </c>
      <c r="Y14" s="2">
        <v>46276.2964236111</v>
      </c>
      <c r="Z14" s="1" t="s">
        <v>37</v>
      </c>
      <c r="AA14" s="1" t="s">
        <v>49</v>
      </c>
    </row>
    <row r="15" spans="1:27" x14ac:dyDescent="0.3">
      <c r="A15" t="s">
        <v>129</v>
      </c>
      <c r="B15" s="1" t="s">
        <v>130</v>
      </c>
      <c r="C15" s="2">
        <v>46269.1179976852</v>
      </c>
      <c r="D15" s="1" t="s">
        <v>131</v>
      </c>
      <c r="E15" s="1" t="s">
        <v>132</v>
      </c>
      <c r="F15" s="1" t="s">
        <v>133</v>
      </c>
      <c r="J15" t="s">
        <v>134</v>
      </c>
      <c r="K15" s="1" t="s">
        <v>31</v>
      </c>
      <c r="L15" s="1" t="s">
        <v>45</v>
      </c>
      <c r="M15" s="1" t="s">
        <v>33</v>
      </c>
      <c r="N15" s="5">
        <v>46356</v>
      </c>
      <c r="O15" s="5">
        <v>46269</v>
      </c>
      <c r="P15" s="5" t="str">
        <f t="shared" si="0"/>
        <v>Week 1</v>
      </c>
      <c r="R15" s="4">
        <v>2100000000</v>
      </c>
      <c r="S15" s="4">
        <v>2100000000</v>
      </c>
      <c r="T15" s="1" t="s">
        <v>34</v>
      </c>
      <c r="W15" s="1" t="s">
        <v>36</v>
      </c>
      <c r="X15" s="2">
        <v>46234.6078009259</v>
      </c>
      <c r="Y15" s="2">
        <v>46269.1179976852</v>
      </c>
      <c r="Z15" s="1" t="s">
        <v>37</v>
      </c>
      <c r="AA15" s="1" t="s">
        <v>49</v>
      </c>
    </row>
    <row r="16" spans="1:27" x14ac:dyDescent="0.3">
      <c r="A16" t="s">
        <v>135</v>
      </c>
      <c r="B16" s="1" t="s">
        <v>136</v>
      </c>
      <c r="C16" s="2">
        <v>46272.034247685202</v>
      </c>
      <c r="D16" s="1" t="s">
        <v>137</v>
      </c>
      <c r="E16" s="1" t="s">
        <v>138</v>
      </c>
      <c r="F16" s="1" t="s">
        <v>133</v>
      </c>
      <c r="J16" t="s">
        <v>134</v>
      </c>
      <c r="K16" s="1" t="s">
        <v>31</v>
      </c>
      <c r="L16" s="1" t="s">
        <v>126</v>
      </c>
      <c r="M16" s="1" t="s">
        <v>33</v>
      </c>
      <c r="N16" s="5">
        <v>46295</v>
      </c>
      <c r="O16" s="5">
        <v>46272</v>
      </c>
      <c r="P16" s="5" t="str">
        <f t="shared" si="0"/>
        <v>Week 1</v>
      </c>
      <c r="R16" s="4">
        <v>4875000000</v>
      </c>
      <c r="S16" s="4">
        <v>0</v>
      </c>
      <c r="T16" s="1" t="s">
        <v>34</v>
      </c>
      <c r="W16" s="1" t="s">
        <v>36</v>
      </c>
      <c r="X16" s="2">
        <v>46234.607743055603</v>
      </c>
      <c r="Y16" s="2">
        <v>46272.034247685202</v>
      </c>
      <c r="Z16" s="1" t="s">
        <v>37</v>
      </c>
      <c r="AA16" s="1" t="s">
        <v>49</v>
      </c>
    </row>
    <row r="17" spans="1:27" x14ac:dyDescent="0.3">
      <c r="A17" t="s">
        <v>139</v>
      </c>
      <c r="B17" s="1" t="s">
        <v>140</v>
      </c>
      <c r="C17" s="2">
        <v>46286.096284722204</v>
      </c>
      <c r="D17" s="1" t="s">
        <v>141</v>
      </c>
      <c r="E17" s="1" t="s">
        <v>142</v>
      </c>
      <c r="F17" s="1" t="s">
        <v>143</v>
      </c>
      <c r="J17" t="s">
        <v>61</v>
      </c>
      <c r="K17" s="1" t="s">
        <v>31</v>
      </c>
      <c r="L17" s="1" t="s">
        <v>144</v>
      </c>
      <c r="M17" s="1" t="s">
        <v>33</v>
      </c>
      <c r="N17" s="5">
        <v>46318</v>
      </c>
      <c r="O17" s="5">
        <v>46285</v>
      </c>
      <c r="P17" s="5" t="str">
        <f t="shared" si="0"/>
        <v>Week 3</v>
      </c>
      <c r="R17" s="4">
        <v>9000000000</v>
      </c>
      <c r="S17" s="4">
        <v>0</v>
      </c>
      <c r="T17" s="1" t="s">
        <v>34</v>
      </c>
      <c r="U17" s="1" t="s">
        <v>145</v>
      </c>
      <c r="V17" s="1" t="s">
        <v>146</v>
      </c>
      <c r="W17" s="1" t="s">
        <v>36</v>
      </c>
      <c r="X17" s="2">
        <v>46229.571655092601</v>
      </c>
      <c r="Y17" s="2">
        <v>46286.096284722204</v>
      </c>
      <c r="Z17" s="1" t="s">
        <v>37</v>
      </c>
      <c r="AA17" s="1" t="s">
        <v>49</v>
      </c>
    </row>
    <row r="18" spans="1:27" x14ac:dyDescent="0.3">
      <c r="A18" t="s">
        <v>147</v>
      </c>
      <c r="B18" s="1" t="s">
        <v>148</v>
      </c>
      <c r="C18" s="2">
        <v>46278.6257175926</v>
      </c>
      <c r="D18" s="1" t="s">
        <v>149</v>
      </c>
      <c r="E18" s="1" t="s">
        <v>150</v>
      </c>
      <c r="F18" s="1" t="s">
        <v>151</v>
      </c>
      <c r="J18" t="s">
        <v>61</v>
      </c>
      <c r="K18" s="1" t="s">
        <v>31</v>
      </c>
      <c r="L18" s="1" t="s">
        <v>144</v>
      </c>
      <c r="M18" s="1" t="s">
        <v>33</v>
      </c>
      <c r="N18" s="5">
        <v>46276</v>
      </c>
      <c r="O18" s="5">
        <v>46278</v>
      </c>
      <c r="P18" s="5" t="str">
        <f t="shared" si="0"/>
        <v>Week 2</v>
      </c>
      <c r="R18" s="4">
        <v>240000000</v>
      </c>
      <c r="S18" s="4">
        <v>0</v>
      </c>
      <c r="T18" s="1" t="s">
        <v>34</v>
      </c>
      <c r="U18" s="1" t="s">
        <v>152</v>
      </c>
      <c r="V18" s="1" t="s">
        <v>100</v>
      </c>
      <c r="W18" s="1" t="s">
        <v>36</v>
      </c>
      <c r="X18" s="2">
        <v>46229.565381944398</v>
      </c>
      <c r="Y18" s="2">
        <v>46278.6257175926</v>
      </c>
      <c r="Z18" s="1" t="s">
        <v>37</v>
      </c>
      <c r="AA18" s="1" t="s">
        <v>49</v>
      </c>
    </row>
    <row r="19" spans="1:27" x14ac:dyDescent="0.3">
      <c r="A19" t="s">
        <v>153</v>
      </c>
      <c r="B19" s="1" t="s">
        <v>154</v>
      </c>
      <c r="C19" s="2">
        <v>46278.624479166698</v>
      </c>
      <c r="D19" s="1" t="s">
        <v>155</v>
      </c>
      <c r="E19" s="1" t="s">
        <v>156</v>
      </c>
      <c r="F19" s="1" t="s">
        <v>157</v>
      </c>
      <c r="J19" t="s">
        <v>61</v>
      </c>
      <c r="K19" s="1" t="s">
        <v>31</v>
      </c>
      <c r="L19" s="1" t="s">
        <v>144</v>
      </c>
      <c r="M19" s="1" t="s">
        <v>33</v>
      </c>
      <c r="N19" s="5">
        <v>46295</v>
      </c>
      <c r="O19" s="5">
        <v>46278</v>
      </c>
      <c r="P19" s="5" t="str">
        <f t="shared" si="0"/>
        <v>Week 2</v>
      </c>
      <c r="R19" s="4">
        <v>800000000</v>
      </c>
      <c r="S19" s="4">
        <v>0</v>
      </c>
      <c r="T19" s="1" t="s">
        <v>34</v>
      </c>
      <c r="U19" s="1" t="s">
        <v>152</v>
      </c>
      <c r="V19" s="1" t="s">
        <v>158</v>
      </c>
      <c r="W19" s="1" t="s">
        <v>36</v>
      </c>
      <c r="X19" s="2">
        <v>46229.563506944403</v>
      </c>
      <c r="Y19" s="2">
        <v>46278.624479166698</v>
      </c>
      <c r="Z19" s="1" t="s">
        <v>37</v>
      </c>
      <c r="AA19" s="1" t="s">
        <v>49</v>
      </c>
    </row>
    <row r="20" spans="1:27" x14ac:dyDescent="0.3">
      <c r="A20" t="s">
        <v>159</v>
      </c>
      <c r="B20" s="1" t="s">
        <v>160</v>
      </c>
      <c r="C20" s="2">
        <v>46278.625555555598</v>
      </c>
      <c r="D20" s="1" t="s">
        <v>161</v>
      </c>
      <c r="E20" s="1" t="s">
        <v>162</v>
      </c>
      <c r="F20" s="1" t="s">
        <v>157</v>
      </c>
      <c r="J20" t="s">
        <v>61</v>
      </c>
      <c r="K20" s="1" t="s">
        <v>31</v>
      </c>
      <c r="L20" s="1" t="s">
        <v>144</v>
      </c>
      <c r="M20" s="1" t="s">
        <v>33</v>
      </c>
      <c r="N20" s="5">
        <v>46295</v>
      </c>
      <c r="O20" s="5">
        <v>46278</v>
      </c>
      <c r="P20" s="5" t="str">
        <f t="shared" si="0"/>
        <v>Week 2</v>
      </c>
      <c r="R20" s="4">
        <v>1400000000</v>
      </c>
      <c r="S20" s="4">
        <v>0</v>
      </c>
      <c r="T20" s="1" t="s">
        <v>34</v>
      </c>
      <c r="U20" s="1" t="s">
        <v>152</v>
      </c>
      <c r="V20" s="1" t="s">
        <v>163</v>
      </c>
      <c r="W20" s="1" t="s">
        <v>36</v>
      </c>
      <c r="X20" s="2">
        <v>46229.561909722201</v>
      </c>
      <c r="Y20" s="2">
        <v>46278.625555555598</v>
      </c>
      <c r="Z20" s="1" t="s">
        <v>37</v>
      </c>
      <c r="AA20" s="1" t="s">
        <v>49</v>
      </c>
    </row>
    <row r="21" spans="1:27" x14ac:dyDescent="0.3">
      <c r="A21" t="s">
        <v>164</v>
      </c>
      <c r="B21" s="1" t="s">
        <v>165</v>
      </c>
      <c r="C21" s="2">
        <v>46278.622534722199</v>
      </c>
      <c r="D21" s="1" t="s">
        <v>166</v>
      </c>
      <c r="E21" s="1" t="s">
        <v>167</v>
      </c>
      <c r="F21" s="1" t="s">
        <v>157</v>
      </c>
      <c r="J21" t="s">
        <v>61</v>
      </c>
      <c r="K21" s="1" t="s">
        <v>31</v>
      </c>
      <c r="L21" s="1" t="s">
        <v>144</v>
      </c>
      <c r="M21" s="1" t="s">
        <v>33</v>
      </c>
      <c r="N21" s="5">
        <v>46295</v>
      </c>
      <c r="O21" s="5">
        <v>46278</v>
      </c>
      <c r="P21" s="5" t="str">
        <f t="shared" si="0"/>
        <v>Week 2</v>
      </c>
      <c r="R21" s="4">
        <v>1100000000</v>
      </c>
      <c r="S21" s="4">
        <v>0</v>
      </c>
      <c r="T21" s="1" t="s">
        <v>34</v>
      </c>
      <c r="U21" s="1" t="s">
        <v>168</v>
      </c>
      <c r="V21" s="1" t="s">
        <v>128</v>
      </c>
      <c r="W21" s="1" t="s">
        <v>36</v>
      </c>
      <c r="X21" s="2">
        <v>46229.557928240698</v>
      </c>
      <c r="Y21" s="2">
        <v>46278.622534722199</v>
      </c>
      <c r="Z21" s="1" t="s">
        <v>37</v>
      </c>
      <c r="AA21" s="1" t="s">
        <v>49</v>
      </c>
    </row>
    <row r="22" spans="1:27" x14ac:dyDescent="0.3">
      <c r="A22" t="s">
        <v>169</v>
      </c>
      <c r="B22" s="1" t="s">
        <v>170</v>
      </c>
      <c r="C22" s="2">
        <v>46278.6199305556</v>
      </c>
      <c r="D22" s="1" t="s">
        <v>171</v>
      </c>
      <c r="E22" s="1" t="s">
        <v>172</v>
      </c>
      <c r="F22" s="1" t="s">
        <v>173</v>
      </c>
      <c r="J22" t="s">
        <v>61</v>
      </c>
      <c r="K22" s="1" t="s">
        <v>31</v>
      </c>
      <c r="L22" s="1" t="s">
        <v>144</v>
      </c>
      <c r="M22" s="1" t="s">
        <v>33</v>
      </c>
      <c r="N22" s="5">
        <v>46295</v>
      </c>
      <c r="O22" s="5">
        <v>46278</v>
      </c>
      <c r="P22" s="5" t="str">
        <f t="shared" si="0"/>
        <v>Week 2</v>
      </c>
      <c r="R22" s="4">
        <v>1685000000</v>
      </c>
      <c r="S22" s="4">
        <v>0</v>
      </c>
      <c r="T22" s="1" t="s">
        <v>34</v>
      </c>
      <c r="U22" s="1" t="s">
        <v>168</v>
      </c>
      <c r="V22" s="1" t="s">
        <v>86</v>
      </c>
      <c r="W22" s="1" t="s">
        <v>36</v>
      </c>
      <c r="X22" s="2">
        <v>46223.151875000003</v>
      </c>
      <c r="Y22" s="2">
        <v>46278.6199305556</v>
      </c>
      <c r="Z22" s="1" t="s">
        <v>37</v>
      </c>
      <c r="AA22" s="1" t="s">
        <v>49</v>
      </c>
    </row>
    <row r="23" spans="1:27" x14ac:dyDescent="0.3">
      <c r="A23" t="s">
        <v>174</v>
      </c>
      <c r="B23" s="1" t="s">
        <v>175</v>
      </c>
      <c r="C23" s="2">
        <v>46278.622141203698</v>
      </c>
      <c r="D23" s="1" t="s">
        <v>176</v>
      </c>
      <c r="E23" s="1" t="s">
        <v>177</v>
      </c>
      <c r="F23" s="1" t="s">
        <v>173</v>
      </c>
      <c r="I23" s="5">
        <v>46402.333333333299</v>
      </c>
      <c r="J23" t="s">
        <v>61</v>
      </c>
      <c r="K23" s="1" t="s">
        <v>31</v>
      </c>
      <c r="L23" s="1" t="s">
        <v>144</v>
      </c>
      <c r="M23" s="1" t="s">
        <v>33</v>
      </c>
      <c r="N23" s="5">
        <v>46295</v>
      </c>
      <c r="O23" s="5">
        <v>46278</v>
      </c>
      <c r="P23" s="5" t="str">
        <f t="shared" si="0"/>
        <v>Week 2</v>
      </c>
      <c r="R23" s="4">
        <v>1345000000</v>
      </c>
      <c r="S23" s="4">
        <v>0</v>
      </c>
      <c r="T23" s="1" t="s">
        <v>34</v>
      </c>
      <c r="U23" s="1" t="s">
        <v>168</v>
      </c>
      <c r="V23" s="1" t="s">
        <v>86</v>
      </c>
      <c r="W23" s="1" t="s">
        <v>36</v>
      </c>
      <c r="X23" s="2">
        <v>46223.149942129603</v>
      </c>
      <c r="Y23" s="2">
        <v>46278.622141203698</v>
      </c>
      <c r="Z23" s="1" t="s">
        <v>37</v>
      </c>
      <c r="AA23" s="1" t="s">
        <v>49</v>
      </c>
    </row>
    <row r="24" spans="1:27" x14ac:dyDescent="0.3">
      <c r="A24" t="s">
        <v>178</v>
      </c>
      <c r="B24" s="1" t="s">
        <v>179</v>
      </c>
      <c r="C24" s="2">
        <v>46278.623807870397</v>
      </c>
      <c r="D24" s="1" t="s">
        <v>180</v>
      </c>
      <c r="E24" s="1" t="s">
        <v>181</v>
      </c>
      <c r="F24" s="1" t="s">
        <v>182</v>
      </c>
      <c r="J24" t="s">
        <v>61</v>
      </c>
      <c r="K24" s="1" t="s">
        <v>31</v>
      </c>
      <c r="L24" s="1" t="s">
        <v>144</v>
      </c>
      <c r="M24" s="1" t="s">
        <v>33</v>
      </c>
      <c r="N24" s="5">
        <v>46295</v>
      </c>
      <c r="O24" s="5">
        <v>46278</v>
      </c>
      <c r="P24" s="5" t="str">
        <f t="shared" si="0"/>
        <v>Week 2</v>
      </c>
      <c r="R24" s="4">
        <v>40000000000</v>
      </c>
      <c r="S24" s="4">
        <v>0</v>
      </c>
      <c r="T24" s="1" t="s">
        <v>34</v>
      </c>
      <c r="U24" s="1" t="s">
        <v>183</v>
      </c>
      <c r="V24" s="1" t="s">
        <v>146</v>
      </c>
      <c r="W24" s="1" t="s">
        <v>36</v>
      </c>
      <c r="X24" s="2">
        <v>46223.059571759302</v>
      </c>
      <c r="Y24" s="2">
        <v>46278.623807870397</v>
      </c>
      <c r="Z24" s="1" t="s">
        <v>37</v>
      </c>
      <c r="AA24" s="1" t="s">
        <v>49</v>
      </c>
    </row>
    <row r="25" spans="1:27" x14ac:dyDescent="0.3">
      <c r="A25" t="s">
        <v>184</v>
      </c>
      <c r="B25" s="1" t="s">
        <v>185</v>
      </c>
      <c r="C25" s="2">
        <v>46286.063275462999</v>
      </c>
      <c r="D25" s="1" t="s">
        <v>186</v>
      </c>
      <c r="E25" s="1" t="s">
        <v>187</v>
      </c>
      <c r="F25" s="1" t="s">
        <v>188</v>
      </c>
      <c r="I25" s="5">
        <v>46387.333333333299</v>
      </c>
      <c r="J25" t="s">
        <v>30</v>
      </c>
      <c r="K25" s="1" t="s">
        <v>31</v>
      </c>
      <c r="L25" s="1" t="s">
        <v>32</v>
      </c>
      <c r="M25" s="1" t="s">
        <v>33</v>
      </c>
      <c r="N25" s="5">
        <v>46290</v>
      </c>
      <c r="O25" s="5">
        <v>46286</v>
      </c>
      <c r="P25" s="5" t="str">
        <f t="shared" si="0"/>
        <v>Week 3</v>
      </c>
      <c r="R25" s="4">
        <v>32178852</v>
      </c>
      <c r="S25" s="4">
        <v>0</v>
      </c>
      <c r="T25" s="1" t="s">
        <v>34</v>
      </c>
      <c r="V25" s="1" t="s">
        <v>189</v>
      </c>
      <c r="W25" s="1" t="s">
        <v>36</v>
      </c>
      <c r="X25" s="2">
        <v>46216.170023148101</v>
      </c>
      <c r="Y25" s="2">
        <v>46286.063275462999</v>
      </c>
      <c r="Z25" s="1" t="s">
        <v>48</v>
      </c>
      <c r="AA25" s="1" t="s">
        <v>49</v>
      </c>
    </row>
    <row r="26" spans="1:27" x14ac:dyDescent="0.3">
      <c r="A26" t="s">
        <v>190</v>
      </c>
      <c r="B26" s="1" t="s">
        <v>191</v>
      </c>
      <c r="C26" s="2">
        <v>46272.157800925903</v>
      </c>
      <c r="D26" s="1" t="s">
        <v>192</v>
      </c>
      <c r="E26" s="1" t="s">
        <v>193</v>
      </c>
      <c r="F26" s="1" t="s">
        <v>84</v>
      </c>
      <c r="I26" s="5">
        <v>46324.333333333299</v>
      </c>
      <c r="J26" t="s">
        <v>85</v>
      </c>
      <c r="K26" s="1" t="s">
        <v>31</v>
      </c>
      <c r="L26" s="1" t="s">
        <v>45</v>
      </c>
      <c r="M26" s="1" t="s">
        <v>33</v>
      </c>
      <c r="N26" s="5">
        <v>46353</v>
      </c>
      <c r="O26" s="5">
        <v>46272</v>
      </c>
      <c r="P26" s="5" t="str">
        <f t="shared" si="0"/>
        <v>Week 1</v>
      </c>
      <c r="R26" s="4">
        <v>3000000000</v>
      </c>
      <c r="S26" s="4">
        <v>3000000000</v>
      </c>
      <c r="T26" s="1" t="s">
        <v>34</v>
      </c>
      <c r="U26" s="1" t="s">
        <v>194</v>
      </c>
      <c r="V26" s="1" t="s">
        <v>86</v>
      </c>
      <c r="W26" s="1" t="s">
        <v>36</v>
      </c>
      <c r="X26" s="2">
        <v>46216.080254629604</v>
      </c>
      <c r="Y26" s="2">
        <v>46272.157800925903</v>
      </c>
      <c r="Z26" s="1" t="s">
        <v>37</v>
      </c>
      <c r="AA26" s="1" t="s">
        <v>49</v>
      </c>
    </row>
    <row r="27" spans="1:27" x14ac:dyDescent="0.3">
      <c r="A27" t="s">
        <v>195</v>
      </c>
      <c r="B27" s="1" t="s">
        <v>196</v>
      </c>
      <c r="C27" s="2">
        <v>46293.087974536997</v>
      </c>
      <c r="D27" s="1" t="s">
        <v>197</v>
      </c>
      <c r="E27" s="1" t="s">
        <v>198</v>
      </c>
      <c r="F27" s="1" t="s">
        <v>199</v>
      </c>
      <c r="G27" s="3">
        <v>1</v>
      </c>
      <c r="H27" s="4">
        <v>752000000</v>
      </c>
      <c r="I27" s="5">
        <v>46324.333333333299</v>
      </c>
      <c r="J27" t="s">
        <v>85</v>
      </c>
      <c r="K27" s="1" t="s">
        <v>31</v>
      </c>
      <c r="L27" s="1" t="s">
        <v>32</v>
      </c>
      <c r="M27" s="1" t="s">
        <v>33</v>
      </c>
      <c r="N27" s="5">
        <v>46324</v>
      </c>
      <c r="O27" s="5">
        <v>46293</v>
      </c>
      <c r="P27" s="5" t="str">
        <f t="shared" si="0"/>
        <v>Week 4</v>
      </c>
      <c r="R27" s="4">
        <v>752000000</v>
      </c>
      <c r="S27" s="4">
        <v>752000000</v>
      </c>
      <c r="T27" s="1" t="s">
        <v>34</v>
      </c>
      <c r="V27" s="1" t="s">
        <v>200</v>
      </c>
      <c r="W27" s="1" t="s">
        <v>36</v>
      </c>
      <c r="X27" s="2">
        <v>46216.078101851897</v>
      </c>
      <c r="Y27" s="2">
        <v>46293.087974536997</v>
      </c>
      <c r="Z27" s="1" t="s">
        <v>37</v>
      </c>
      <c r="AA27" s="1" t="s">
        <v>49</v>
      </c>
    </row>
    <row r="28" spans="1:27" x14ac:dyDescent="0.3">
      <c r="A28" t="s">
        <v>201</v>
      </c>
      <c r="B28" s="1" t="s">
        <v>202</v>
      </c>
      <c r="C28" s="2">
        <v>46279.109479166698</v>
      </c>
      <c r="D28" s="1" t="s">
        <v>203</v>
      </c>
      <c r="E28" s="1" t="s">
        <v>204</v>
      </c>
      <c r="F28" s="1" t="s">
        <v>205</v>
      </c>
      <c r="I28" s="5">
        <v>46387.333333333299</v>
      </c>
      <c r="J28" t="s">
        <v>85</v>
      </c>
      <c r="K28" s="1" t="s">
        <v>31</v>
      </c>
      <c r="L28" s="1" t="s">
        <v>71</v>
      </c>
      <c r="M28" s="1" t="s">
        <v>33</v>
      </c>
      <c r="N28" s="5">
        <v>46353</v>
      </c>
      <c r="O28" s="5">
        <v>46279</v>
      </c>
      <c r="P28" s="5" t="str">
        <f t="shared" si="0"/>
        <v>Week 2</v>
      </c>
      <c r="R28" s="4">
        <v>2850000000</v>
      </c>
      <c r="S28" s="4">
        <v>2850000000</v>
      </c>
      <c r="T28" s="1" t="s">
        <v>34</v>
      </c>
      <c r="V28" s="1" t="s">
        <v>146</v>
      </c>
      <c r="W28" s="1" t="s">
        <v>36</v>
      </c>
      <c r="X28" s="2">
        <v>46216.077476851897</v>
      </c>
      <c r="Y28" s="2">
        <v>46279.109479166698</v>
      </c>
      <c r="Z28" s="1" t="s">
        <v>37</v>
      </c>
      <c r="AA28" s="1" t="s">
        <v>49</v>
      </c>
    </row>
    <row r="29" spans="1:27" x14ac:dyDescent="0.3">
      <c r="A29" t="s">
        <v>206</v>
      </c>
      <c r="B29" s="1" t="s">
        <v>207</v>
      </c>
      <c r="C29" s="2">
        <v>46282.147280092599</v>
      </c>
      <c r="D29" s="1" t="s">
        <v>208</v>
      </c>
      <c r="E29" s="1" t="s">
        <v>209</v>
      </c>
      <c r="F29" s="1" t="s">
        <v>210</v>
      </c>
      <c r="I29" s="5">
        <v>46386.333333333299</v>
      </c>
      <c r="J29" t="s">
        <v>125</v>
      </c>
      <c r="K29" s="1" t="s">
        <v>31</v>
      </c>
      <c r="L29" s="1" t="s">
        <v>71</v>
      </c>
      <c r="M29" s="1" t="s">
        <v>33</v>
      </c>
      <c r="N29" s="5">
        <v>46293</v>
      </c>
      <c r="O29" s="5">
        <v>46282</v>
      </c>
      <c r="P29" s="5" t="str">
        <f t="shared" si="0"/>
        <v>Week 3</v>
      </c>
      <c r="R29" s="4">
        <v>1400000000</v>
      </c>
      <c r="S29" s="4">
        <v>1400000000</v>
      </c>
      <c r="T29" s="1" t="s">
        <v>34</v>
      </c>
      <c r="V29" s="1" t="s">
        <v>158</v>
      </c>
      <c r="W29" s="1" t="s">
        <v>36</v>
      </c>
      <c r="X29" s="2">
        <v>46216.060868055603</v>
      </c>
      <c r="Y29" s="2">
        <v>46282.147280092599</v>
      </c>
      <c r="Z29" s="1" t="s">
        <v>37</v>
      </c>
      <c r="AA29" s="1" t="s">
        <v>49</v>
      </c>
    </row>
    <row r="30" spans="1:27" x14ac:dyDescent="0.3">
      <c r="A30" t="s">
        <v>211</v>
      </c>
      <c r="B30" s="1" t="s">
        <v>212</v>
      </c>
      <c r="C30" s="2">
        <v>46274.394884259302</v>
      </c>
      <c r="D30" s="1" t="s">
        <v>213</v>
      </c>
      <c r="E30" s="1" t="s">
        <v>214</v>
      </c>
      <c r="F30" s="1" t="s">
        <v>43</v>
      </c>
      <c r="J30" t="s">
        <v>44</v>
      </c>
      <c r="K30" s="1" t="s">
        <v>31</v>
      </c>
      <c r="L30" s="1" t="s">
        <v>71</v>
      </c>
      <c r="M30" s="1" t="s">
        <v>33</v>
      </c>
      <c r="N30" s="5">
        <v>46290</v>
      </c>
      <c r="O30" s="5">
        <v>46272</v>
      </c>
      <c r="P30" s="5" t="str">
        <f t="shared" si="0"/>
        <v>Week 1</v>
      </c>
      <c r="R30" s="4">
        <v>1600000000</v>
      </c>
      <c r="S30" s="4">
        <v>1600000000</v>
      </c>
      <c r="T30" s="1" t="s">
        <v>34</v>
      </c>
      <c r="U30" s="1" t="s">
        <v>215</v>
      </c>
      <c r="W30" s="1" t="s">
        <v>36</v>
      </c>
      <c r="X30" s="2">
        <v>46215.625277777799</v>
      </c>
      <c r="Y30" s="2">
        <v>46274.394884259302</v>
      </c>
      <c r="Z30" s="1" t="s">
        <v>37</v>
      </c>
      <c r="AA30" s="1" t="s">
        <v>49</v>
      </c>
    </row>
    <row r="31" spans="1:27" x14ac:dyDescent="0.3">
      <c r="A31" t="s">
        <v>216</v>
      </c>
      <c r="B31" s="1" t="s">
        <v>217</v>
      </c>
      <c r="C31" s="2">
        <v>46272.025150463</v>
      </c>
      <c r="D31" s="1" t="s">
        <v>218</v>
      </c>
      <c r="E31" s="1" t="s">
        <v>219</v>
      </c>
      <c r="F31" s="1" t="s">
        <v>43</v>
      </c>
      <c r="J31" t="s">
        <v>44</v>
      </c>
      <c r="K31" s="1" t="s">
        <v>31</v>
      </c>
      <c r="L31" s="1" t="s">
        <v>71</v>
      </c>
      <c r="M31" s="1" t="s">
        <v>33</v>
      </c>
      <c r="N31" s="5">
        <v>46290</v>
      </c>
      <c r="O31" s="5">
        <v>46272</v>
      </c>
      <c r="P31" s="5" t="str">
        <f t="shared" si="0"/>
        <v>Week 1</v>
      </c>
      <c r="R31" s="4">
        <v>1500000000</v>
      </c>
      <c r="S31" s="4">
        <v>1500000000</v>
      </c>
      <c r="T31" s="1" t="s">
        <v>34</v>
      </c>
      <c r="W31" s="1" t="s">
        <v>36</v>
      </c>
      <c r="X31" s="2">
        <v>46215.625219907401</v>
      </c>
      <c r="Y31" s="2">
        <v>46272.025150463</v>
      </c>
      <c r="Z31" s="1" t="s">
        <v>37</v>
      </c>
      <c r="AA31" s="1" t="s">
        <v>49</v>
      </c>
    </row>
    <row r="32" spans="1:27" x14ac:dyDescent="0.3">
      <c r="A32" t="s">
        <v>220</v>
      </c>
      <c r="B32" s="1" t="s">
        <v>221</v>
      </c>
      <c r="C32" s="2">
        <v>46286.083981481497</v>
      </c>
      <c r="D32" s="1" t="s">
        <v>222</v>
      </c>
      <c r="E32" s="1" t="s">
        <v>223</v>
      </c>
      <c r="F32" s="1" t="s">
        <v>224</v>
      </c>
      <c r="I32" s="5">
        <v>46353.333333333299</v>
      </c>
      <c r="J32" t="s">
        <v>30</v>
      </c>
      <c r="K32" s="1" t="s">
        <v>31</v>
      </c>
      <c r="L32" s="1" t="s">
        <v>71</v>
      </c>
      <c r="M32" s="1" t="s">
        <v>33</v>
      </c>
      <c r="N32" s="5">
        <v>46287</v>
      </c>
      <c r="O32" s="5">
        <v>46286</v>
      </c>
      <c r="P32" s="5" t="str">
        <f t="shared" si="0"/>
        <v>Week 3</v>
      </c>
      <c r="R32" s="4">
        <v>180000000</v>
      </c>
      <c r="S32" s="4">
        <v>180000000</v>
      </c>
      <c r="T32" s="1" t="s">
        <v>34</v>
      </c>
      <c r="V32" s="1" t="s">
        <v>225</v>
      </c>
      <c r="W32" s="1" t="s">
        <v>36</v>
      </c>
      <c r="X32" s="2">
        <v>46213.309918981497</v>
      </c>
      <c r="Y32" s="2">
        <v>46286.083981481497</v>
      </c>
      <c r="Z32" s="1" t="s">
        <v>48</v>
      </c>
      <c r="AA32" s="1" t="s">
        <v>49</v>
      </c>
    </row>
    <row r="33" spans="1:27" x14ac:dyDescent="0.3">
      <c r="A33" t="s">
        <v>226</v>
      </c>
      <c r="B33" s="1" t="s">
        <v>227</v>
      </c>
      <c r="C33" s="2">
        <v>46293.083263888897</v>
      </c>
      <c r="D33" s="1" t="s">
        <v>228</v>
      </c>
      <c r="E33" s="1" t="s">
        <v>229</v>
      </c>
      <c r="F33" s="1" t="s">
        <v>230</v>
      </c>
      <c r="J33" t="s">
        <v>70</v>
      </c>
      <c r="K33" s="1" t="s">
        <v>31</v>
      </c>
      <c r="L33" s="1" t="s">
        <v>71</v>
      </c>
      <c r="M33" s="1" t="s">
        <v>33</v>
      </c>
      <c r="N33" s="5">
        <v>46326</v>
      </c>
      <c r="O33" s="5">
        <v>46292</v>
      </c>
      <c r="P33" s="5" t="str">
        <f t="shared" si="0"/>
        <v>Week 4</v>
      </c>
      <c r="R33" s="4">
        <v>6000000000</v>
      </c>
      <c r="S33" s="4">
        <v>6000000000</v>
      </c>
      <c r="T33" s="1" t="s">
        <v>34</v>
      </c>
      <c r="U33" s="1" t="s">
        <v>231</v>
      </c>
      <c r="W33" s="1" t="s">
        <v>36</v>
      </c>
      <c r="X33" s="2">
        <v>46211.301967592597</v>
      </c>
      <c r="Y33" s="2">
        <v>46293.083263888897</v>
      </c>
      <c r="Z33" s="1" t="s">
        <v>108</v>
      </c>
      <c r="AA33" s="1" t="s">
        <v>109</v>
      </c>
    </row>
    <row r="34" spans="1:27" x14ac:dyDescent="0.3">
      <c r="A34" t="s">
        <v>232</v>
      </c>
      <c r="B34" s="1" t="s">
        <v>233</v>
      </c>
      <c r="C34" s="2">
        <v>46278.625208333302</v>
      </c>
      <c r="D34" s="1" t="s">
        <v>234</v>
      </c>
      <c r="E34" s="1" t="s">
        <v>235</v>
      </c>
      <c r="F34" s="1" t="s">
        <v>236</v>
      </c>
      <c r="J34" t="s">
        <v>61</v>
      </c>
      <c r="K34" s="1" t="s">
        <v>31</v>
      </c>
      <c r="L34" s="1" t="s">
        <v>144</v>
      </c>
      <c r="M34" s="1" t="s">
        <v>33</v>
      </c>
      <c r="N34" s="5">
        <v>46295</v>
      </c>
      <c r="O34" s="5">
        <v>46278</v>
      </c>
      <c r="P34" s="5" t="str">
        <f t="shared" si="0"/>
        <v>Week 2</v>
      </c>
      <c r="R34" s="4">
        <v>1700000000</v>
      </c>
      <c r="S34" s="4">
        <v>0</v>
      </c>
      <c r="T34" s="1" t="s">
        <v>34</v>
      </c>
      <c r="U34" s="1" t="s">
        <v>237</v>
      </c>
      <c r="V34" s="1" t="s">
        <v>64</v>
      </c>
      <c r="W34" s="1" t="s">
        <v>36</v>
      </c>
      <c r="X34" s="2">
        <v>46209.050532407397</v>
      </c>
      <c r="Y34" s="2">
        <v>46278.625208333302</v>
      </c>
      <c r="Z34" s="1" t="s">
        <v>37</v>
      </c>
      <c r="AA34" s="1" t="s">
        <v>49</v>
      </c>
    </row>
    <row r="35" spans="1:27" x14ac:dyDescent="0.3">
      <c r="A35" t="s">
        <v>238</v>
      </c>
      <c r="B35" s="1" t="s">
        <v>239</v>
      </c>
      <c r="C35" s="2">
        <v>46272.025150463</v>
      </c>
      <c r="D35" s="1" t="s">
        <v>240</v>
      </c>
      <c r="E35" s="1" t="s">
        <v>241</v>
      </c>
      <c r="F35" s="1" t="s">
        <v>43</v>
      </c>
      <c r="J35" t="s">
        <v>44</v>
      </c>
      <c r="K35" s="1" t="s">
        <v>31</v>
      </c>
      <c r="L35" s="1" t="s">
        <v>71</v>
      </c>
      <c r="M35" s="1" t="s">
        <v>33</v>
      </c>
      <c r="N35" s="5">
        <v>46295</v>
      </c>
      <c r="O35" s="5">
        <v>46272</v>
      </c>
      <c r="P35" s="5" t="str">
        <f t="shared" si="0"/>
        <v>Week 1</v>
      </c>
      <c r="R35" s="4">
        <v>3500000000</v>
      </c>
      <c r="S35" s="4">
        <v>3500000000</v>
      </c>
      <c r="T35" s="1" t="s">
        <v>34</v>
      </c>
      <c r="W35" s="1" t="s">
        <v>36</v>
      </c>
      <c r="X35" s="2">
        <v>46209.042164351798</v>
      </c>
      <c r="Y35" s="2">
        <v>46272.025150463</v>
      </c>
      <c r="Z35" s="1" t="s">
        <v>37</v>
      </c>
      <c r="AA35" s="1" t="s">
        <v>49</v>
      </c>
    </row>
    <row r="36" spans="1:27" x14ac:dyDescent="0.3">
      <c r="A36" t="s">
        <v>242</v>
      </c>
      <c r="B36" s="1" t="s">
        <v>243</v>
      </c>
      <c r="C36" s="2">
        <v>46272.158553240697</v>
      </c>
      <c r="D36" s="1" t="s">
        <v>244</v>
      </c>
      <c r="E36" s="1" t="s">
        <v>245</v>
      </c>
      <c r="F36" s="1" t="s">
        <v>246</v>
      </c>
      <c r="I36" s="5">
        <v>46324.333333333299</v>
      </c>
      <c r="J36" t="s">
        <v>85</v>
      </c>
      <c r="K36" s="1" t="s">
        <v>31</v>
      </c>
      <c r="L36" s="1" t="s">
        <v>126</v>
      </c>
      <c r="M36" s="1" t="s">
        <v>33</v>
      </c>
      <c r="N36" s="5">
        <v>46356</v>
      </c>
      <c r="O36" s="5">
        <v>46272</v>
      </c>
      <c r="P36" s="5" t="str">
        <f t="shared" si="0"/>
        <v>Week 1</v>
      </c>
      <c r="R36" s="4">
        <v>1520000000</v>
      </c>
      <c r="S36" s="4">
        <v>1520000000</v>
      </c>
      <c r="T36" s="1" t="s">
        <v>34</v>
      </c>
      <c r="U36" s="1" t="s">
        <v>126</v>
      </c>
      <c r="V36" s="1" t="s">
        <v>55</v>
      </c>
      <c r="W36" s="1" t="s">
        <v>36</v>
      </c>
      <c r="X36" s="2">
        <v>46208.604837963001</v>
      </c>
      <c r="Y36" s="2">
        <v>46272.158553240697</v>
      </c>
      <c r="Z36" s="1" t="s">
        <v>37</v>
      </c>
      <c r="AA36" s="1" t="s">
        <v>49</v>
      </c>
    </row>
    <row r="37" spans="1:27" x14ac:dyDescent="0.3">
      <c r="A37" t="s">
        <v>247</v>
      </c>
      <c r="B37" s="1" t="s">
        <v>248</v>
      </c>
      <c r="C37" s="2">
        <v>46279.1089699074</v>
      </c>
      <c r="D37" s="1" t="s">
        <v>249</v>
      </c>
      <c r="E37" s="1" t="s">
        <v>250</v>
      </c>
      <c r="F37" s="1" t="s">
        <v>251</v>
      </c>
      <c r="I37" s="5">
        <v>46356.333333333299</v>
      </c>
      <c r="J37" t="s">
        <v>85</v>
      </c>
      <c r="K37" s="1" t="s">
        <v>31</v>
      </c>
      <c r="L37" s="1" t="s">
        <v>71</v>
      </c>
      <c r="M37" s="1" t="s">
        <v>33</v>
      </c>
      <c r="N37" s="5">
        <v>46356</v>
      </c>
      <c r="O37" s="5">
        <v>46279</v>
      </c>
      <c r="P37" s="5" t="str">
        <f t="shared" si="0"/>
        <v>Week 2</v>
      </c>
      <c r="R37" s="4">
        <v>3200000000</v>
      </c>
      <c r="S37" s="4">
        <v>3200000000</v>
      </c>
      <c r="T37" s="1" t="s">
        <v>34</v>
      </c>
      <c r="V37" s="1" t="s">
        <v>225</v>
      </c>
      <c r="W37" s="1" t="s">
        <v>36</v>
      </c>
      <c r="X37" s="2">
        <v>46208.603622685201</v>
      </c>
      <c r="Y37" s="2">
        <v>46279.1089699074</v>
      </c>
      <c r="Z37" s="1" t="s">
        <v>37</v>
      </c>
      <c r="AA37" s="1" t="s">
        <v>49</v>
      </c>
    </row>
    <row r="38" spans="1:27" x14ac:dyDescent="0.3">
      <c r="A38" t="s">
        <v>252</v>
      </c>
      <c r="B38" s="1" t="s">
        <v>253</v>
      </c>
      <c r="C38" s="2">
        <v>46272.091122685197</v>
      </c>
      <c r="D38" s="1" t="s">
        <v>254</v>
      </c>
      <c r="E38" s="1" t="s">
        <v>255</v>
      </c>
      <c r="F38" s="1" t="s">
        <v>205</v>
      </c>
      <c r="I38" s="5">
        <v>46295.333333333299</v>
      </c>
      <c r="J38" t="s">
        <v>85</v>
      </c>
      <c r="K38" s="1" t="s">
        <v>31</v>
      </c>
      <c r="L38" s="1" t="s">
        <v>126</v>
      </c>
      <c r="M38" s="1" t="s">
        <v>33</v>
      </c>
      <c r="N38" s="5">
        <v>46295</v>
      </c>
      <c r="O38" s="5">
        <v>46272</v>
      </c>
      <c r="P38" s="5" t="str">
        <f t="shared" si="0"/>
        <v>Week 1</v>
      </c>
      <c r="R38" s="4">
        <v>320000000</v>
      </c>
      <c r="S38" s="4">
        <v>320000000</v>
      </c>
      <c r="T38" s="1" t="s">
        <v>34</v>
      </c>
      <c r="U38" s="1" t="s">
        <v>126</v>
      </c>
      <c r="V38" s="1" t="s">
        <v>55</v>
      </c>
      <c r="W38" s="1" t="s">
        <v>36</v>
      </c>
      <c r="X38" s="2">
        <v>46208.602650462999</v>
      </c>
      <c r="Y38" s="2">
        <v>46272.091122685197</v>
      </c>
      <c r="Z38" s="1" t="s">
        <v>37</v>
      </c>
      <c r="AA38" s="1" t="s">
        <v>49</v>
      </c>
    </row>
    <row r="39" spans="1:27" x14ac:dyDescent="0.3">
      <c r="A39" t="s">
        <v>256</v>
      </c>
      <c r="B39" s="1" t="s">
        <v>257</v>
      </c>
      <c r="C39" s="2">
        <v>46293.064317129603</v>
      </c>
      <c r="D39" s="1" t="s">
        <v>258</v>
      </c>
      <c r="E39" s="1" t="s">
        <v>259</v>
      </c>
      <c r="F39" s="1" t="s">
        <v>260</v>
      </c>
      <c r="J39" t="s">
        <v>61</v>
      </c>
      <c r="K39" s="1" t="s">
        <v>31</v>
      </c>
      <c r="L39" s="1" t="s">
        <v>71</v>
      </c>
      <c r="M39" s="1" t="s">
        <v>33</v>
      </c>
      <c r="N39" s="5">
        <v>46353</v>
      </c>
      <c r="O39" s="5">
        <v>46292</v>
      </c>
      <c r="P39" s="5" t="str">
        <f t="shared" si="0"/>
        <v>Week 4</v>
      </c>
      <c r="R39" s="4">
        <v>35000000000</v>
      </c>
      <c r="S39" s="4">
        <v>35000000000</v>
      </c>
      <c r="T39" s="1" t="s">
        <v>34</v>
      </c>
      <c r="U39" s="1" t="s">
        <v>261</v>
      </c>
      <c r="V39" s="1" t="s">
        <v>163</v>
      </c>
      <c r="W39" s="1" t="s">
        <v>36</v>
      </c>
      <c r="X39" s="2">
        <v>46208.495289351798</v>
      </c>
      <c r="Y39" s="2">
        <v>46293.064317129603</v>
      </c>
      <c r="Z39" s="1" t="s">
        <v>37</v>
      </c>
      <c r="AA39" s="1" t="s">
        <v>49</v>
      </c>
    </row>
    <row r="40" spans="1:27" x14ac:dyDescent="0.3">
      <c r="A40" t="s">
        <v>262</v>
      </c>
      <c r="B40" s="1" t="s">
        <v>263</v>
      </c>
      <c r="C40" s="2">
        <v>46278.619444444397</v>
      </c>
      <c r="D40" s="1" t="s">
        <v>264</v>
      </c>
      <c r="E40" s="1" t="s">
        <v>265</v>
      </c>
      <c r="F40" s="1" t="s">
        <v>151</v>
      </c>
      <c r="J40" t="s">
        <v>61</v>
      </c>
      <c r="K40" s="1" t="s">
        <v>31</v>
      </c>
      <c r="L40" s="1" t="s">
        <v>144</v>
      </c>
      <c r="M40" s="1" t="s">
        <v>33</v>
      </c>
      <c r="N40" s="5">
        <v>46295</v>
      </c>
      <c r="O40" s="5">
        <v>46278</v>
      </c>
      <c r="P40" s="5" t="str">
        <f t="shared" si="0"/>
        <v>Week 2</v>
      </c>
      <c r="R40" s="4">
        <v>900000000</v>
      </c>
      <c r="S40" s="4">
        <v>0</v>
      </c>
      <c r="T40" s="1" t="s">
        <v>34</v>
      </c>
      <c r="U40" s="1" t="s">
        <v>168</v>
      </c>
      <c r="V40" s="1" t="s">
        <v>100</v>
      </c>
      <c r="W40" s="1" t="s">
        <v>36</v>
      </c>
      <c r="X40" s="2">
        <v>46208.492291666698</v>
      </c>
      <c r="Y40" s="2">
        <v>46278.619444444397</v>
      </c>
      <c r="Z40" s="1" t="s">
        <v>37</v>
      </c>
      <c r="AA40" s="1" t="s">
        <v>49</v>
      </c>
    </row>
    <row r="41" spans="1:27" x14ac:dyDescent="0.3">
      <c r="A41" t="s">
        <v>266</v>
      </c>
      <c r="B41" s="1" t="s">
        <v>267</v>
      </c>
      <c r="C41" s="2">
        <v>46286.101909722202</v>
      </c>
      <c r="D41" s="1" t="s">
        <v>268</v>
      </c>
      <c r="E41" s="1" t="s">
        <v>269</v>
      </c>
      <c r="F41" s="1" t="s">
        <v>270</v>
      </c>
      <c r="J41" t="s">
        <v>61</v>
      </c>
      <c r="K41" s="1" t="s">
        <v>31</v>
      </c>
      <c r="L41" s="1" t="s">
        <v>144</v>
      </c>
      <c r="M41" s="1" t="s">
        <v>33</v>
      </c>
      <c r="N41" s="5">
        <v>46325</v>
      </c>
      <c r="O41" s="5">
        <v>46285</v>
      </c>
      <c r="P41" s="5" t="str">
        <f t="shared" si="0"/>
        <v>Week 3</v>
      </c>
      <c r="R41" s="4">
        <v>5000000000</v>
      </c>
      <c r="S41" s="4">
        <v>0</v>
      </c>
      <c r="T41" s="1" t="s">
        <v>34</v>
      </c>
      <c r="U41" s="1" t="s">
        <v>271</v>
      </c>
      <c r="V41" s="1" t="s">
        <v>146</v>
      </c>
      <c r="W41" s="1" t="s">
        <v>36</v>
      </c>
      <c r="X41" s="2">
        <v>46181.283553240697</v>
      </c>
      <c r="Y41" s="2">
        <v>46286.101909722202</v>
      </c>
      <c r="Z41" s="1" t="s">
        <v>37</v>
      </c>
      <c r="AA41" s="1" t="s">
        <v>49</v>
      </c>
    </row>
    <row r="42" spans="1:27" x14ac:dyDescent="0.3">
      <c r="A42" t="s">
        <v>272</v>
      </c>
      <c r="B42" s="1" t="s">
        <v>273</v>
      </c>
      <c r="C42" s="2">
        <v>46286.099328703698</v>
      </c>
      <c r="D42" s="1" t="s">
        <v>274</v>
      </c>
      <c r="E42" s="1" t="s">
        <v>142</v>
      </c>
      <c r="F42" s="1" t="s">
        <v>275</v>
      </c>
      <c r="J42" t="s">
        <v>61</v>
      </c>
      <c r="K42" s="1" t="s">
        <v>31</v>
      </c>
      <c r="L42" s="1" t="s">
        <v>144</v>
      </c>
      <c r="M42" s="1" t="s">
        <v>33</v>
      </c>
      <c r="N42" s="5">
        <v>46325</v>
      </c>
      <c r="O42" s="5">
        <v>46285</v>
      </c>
      <c r="P42" s="5" t="str">
        <f t="shared" si="0"/>
        <v>Week 3</v>
      </c>
      <c r="R42" s="4">
        <v>9000000000</v>
      </c>
      <c r="S42" s="4">
        <v>0</v>
      </c>
      <c r="T42" s="1" t="s">
        <v>34</v>
      </c>
      <c r="U42" s="1" t="s">
        <v>276</v>
      </c>
      <c r="W42" s="1" t="s">
        <v>36</v>
      </c>
      <c r="X42" s="2">
        <v>46175.074710648201</v>
      </c>
      <c r="Y42" s="2">
        <v>46286.099328703698</v>
      </c>
      <c r="Z42" s="1" t="s">
        <v>37</v>
      </c>
      <c r="AA42" s="1" t="s">
        <v>49</v>
      </c>
    </row>
    <row r="43" spans="1:27" x14ac:dyDescent="0.3">
      <c r="A43" t="s">
        <v>277</v>
      </c>
      <c r="B43" s="1" t="s">
        <v>278</v>
      </c>
      <c r="C43" s="2">
        <v>46293.090486111098</v>
      </c>
      <c r="D43" s="1" t="s">
        <v>279</v>
      </c>
      <c r="E43" s="1" t="s">
        <v>280</v>
      </c>
      <c r="F43" s="1" t="s">
        <v>281</v>
      </c>
      <c r="G43" s="3">
        <v>20</v>
      </c>
      <c r="H43" s="4">
        <v>240000000</v>
      </c>
      <c r="I43" s="5">
        <v>46385</v>
      </c>
      <c r="J43" t="s">
        <v>85</v>
      </c>
      <c r="K43" s="1" t="s">
        <v>31</v>
      </c>
      <c r="L43" s="1" t="s">
        <v>282</v>
      </c>
      <c r="M43" s="1" t="s">
        <v>33</v>
      </c>
      <c r="N43" s="5">
        <v>46387</v>
      </c>
      <c r="O43" s="5">
        <v>46293</v>
      </c>
      <c r="P43" s="5" t="str">
        <f t="shared" si="0"/>
        <v>Week 4</v>
      </c>
      <c r="R43" s="4">
        <v>6400000000</v>
      </c>
      <c r="S43" s="4">
        <v>6400000000</v>
      </c>
      <c r="T43" s="1" t="s">
        <v>34</v>
      </c>
      <c r="V43" s="1" t="s">
        <v>100</v>
      </c>
      <c r="W43" s="1" t="s">
        <v>36</v>
      </c>
      <c r="X43" s="2">
        <v>46146.372083333299</v>
      </c>
      <c r="Y43" s="2">
        <v>46293.090486111098</v>
      </c>
      <c r="Z43" s="1" t="s">
        <v>37</v>
      </c>
      <c r="AA43" s="1" t="s">
        <v>49</v>
      </c>
    </row>
    <row r="44" spans="1:27" x14ac:dyDescent="0.3">
      <c r="A44" t="s">
        <v>283</v>
      </c>
      <c r="B44" s="1" t="s">
        <v>284</v>
      </c>
      <c r="C44" s="2">
        <v>46293.084965277798</v>
      </c>
      <c r="D44" s="1" t="s">
        <v>285</v>
      </c>
      <c r="E44" s="1" t="s">
        <v>286</v>
      </c>
      <c r="F44" s="1" t="s">
        <v>281</v>
      </c>
      <c r="G44" s="3">
        <v>1</v>
      </c>
      <c r="H44" s="4">
        <v>1222000000</v>
      </c>
      <c r="I44" s="5">
        <v>46386</v>
      </c>
      <c r="J44" t="s">
        <v>85</v>
      </c>
      <c r="K44" s="1" t="s">
        <v>31</v>
      </c>
      <c r="L44" s="1" t="s">
        <v>32</v>
      </c>
      <c r="M44" s="1" t="s">
        <v>33</v>
      </c>
      <c r="N44" s="5">
        <v>46384</v>
      </c>
      <c r="O44" s="5">
        <v>46293</v>
      </c>
      <c r="P44" s="5" t="str">
        <f t="shared" si="0"/>
        <v>Week 4</v>
      </c>
      <c r="R44" s="4">
        <v>1200000000</v>
      </c>
      <c r="S44" s="4">
        <v>1222000000</v>
      </c>
      <c r="T44" s="1" t="s">
        <v>34</v>
      </c>
      <c r="V44" s="1" t="s">
        <v>86</v>
      </c>
      <c r="W44" s="1" t="s">
        <v>36</v>
      </c>
      <c r="X44" s="2">
        <v>46090.107835648101</v>
      </c>
      <c r="Y44" s="2">
        <v>46293.084965277798</v>
      </c>
      <c r="Z44" s="1" t="s">
        <v>37</v>
      </c>
      <c r="AA44" s="1" t="s">
        <v>49</v>
      </c>
    </row>
    <row r="45" spans="1:27" x14ac:dyDescent="0.3">
      <c r="A45" t="s">
        <v>287</v>
      </c>
      <c r="B45" s="1" t="s">
        <v>288</v>
      </c>
      <c r="C45" s="2">
        <v>46276.169351851902</v>
      </c>
      <c r="D45" s="1" t="s">
        <v>289</v>
      </c>
      <c r="E45" s="1" t="s">
        <v>290</v>
      </c>
      <c r="F45" s="1" t="s">
        <v>291</v>
      </c>
      <c r="I45" s="5">
        <v>46446.333333333299</v>
      </c>
      <c r="J45" t="s">
        <v>70</v>
      </c>
      <c r="K45" s="1" t="s">
        <v>31</v>
      </c>
      <c r="L45" s="1" t="s">
        <v>71</v>
      </c>
      <c r="M45" s="1" t="s">
        <v>33</v>
      </c>
      <c r="N45" s="5">
        <v>46295</v>
      </c>
      <c r="O45" s="5">
        <v>46275</v>
      </c>
      <c r="P45" s="5" t="str">
        <f t="shared" si="0"/>
        <v>Week 2</v>
      </c>
      <c r="R45" s="4">
        <v>7000000000</v>
      </c>
      <c r="S45" s="4">
        <v>7000000000</v>
      </c>
      <c r="T45" s="1" t="s">
        <v>34</v>
      </c>
      <c r="U45" s="1" t="s">
        <v>292</v>
      </c>
      <c r="V45" s="1" t="s">
        <v>107</v>
      </c>
      <c r="W45" s="1" t="s">
        <v>36</v>
      </c>
      <c r="X45" s="2">
        <v>46076.110821759299</v>
      </c>
      <c r="Y45" s="2">
        <v>46276.169351851902</v>
      </c>
      <c r="Z45" s="1" t="s">
        <v>108</v>
      </c>
      <c r="AA45" s="1" t="s">
        <v>109</v>
      </c>
    </row>
    <row r="46" spans="1:27" x14ac:dyDescent="0.3">
      <c r="A46" t="s">
        <v>293</v>
      </c>
      <c r="B46" s="1" t="s">
        <v>294</v>
      </c>
      <c r="C46" s="2">
        <v>46272.158958333297</v>
      </c>
      <c r="D46" s="1" t="s">
        <v>295</v>
      </c>
      <c r="E46" s="1" t="s">
        <v>296</v>
      </c>
      <c r="F46" s="1" t="s">
        <v>281</v>
      </c>
      <c r="I46" s="5">
        <v>46323.333333333299</v>
      </c>
      <c r="J46" t="s">
        <v>85</v>
      </c>
      <c r="K46" s="1" t="s">
        <v>31</v>
      </c>
      <c r="L46" s="1" t="s">
        <v>126</v>
      </c>
      <c r="M46" s="1" t="s">
        <v>33</v>
      </c>
      <c r="N46" s="5">
        <v>46356</v>
      </c>
      <c r="O46" s="5">
        <v>46272</v>
      </c>
      <c r="P46" s="5" t="str">
        <f t="shared" si="0"/>
        <v>Week 1</v>
      </c>
      <c r="R46" s="4">
        <v>1280000000</v>
      </c>
      <c r="S46" s="4">
        <v>1280000000</v>
      </c>
      <c r="T46" s="1" t="s">
        <v>34</v>
      </c>
      <c r="U46" s="1" t="s">
        <v>126</v>
      </c>
      <c r="V46" s="1" t="s">
        <v>225</v>
      </c>
      <c r="W46" s="1" t="s">
        <v>36</v>
      </c>
      <c r="X46" s="2">
        <v>46048.153576388897</v>
      </c>
      <c r="Y46" s="2">
        <v>46272.158958333297</v>
      </c>
      <c r="Z46" s="1" t="s">
        <v>37</v>
      </c>
      <c r="AA46" s="1" t="s">
        <v>49</v>
      </c>
    </row>
    <row r="47" spans="1:27" x14ac:dyDescent="0.3">
      <c r="A47" t="s">
        <v>297</v>
      </c>
      <c r="B47" s="1" t="s">
        <v>298</v>
      </c>
      <c r="C47" s="2">
        <v>46272.148287037002</v>
      </c>
      <c r="D47" s="1" t="s">
        <v>299</v>
      </c>
      <c r="E47" s="1" t="s">
        <v>300</v>
      </c>
      <c r="F47" s="1" t="s">
        <v>281</v>
      </c>
      <c r="I47" s="5">
        <v>46326.333333333299</v>
      </c>
      <c r="J47" t="s">
        <v>85</v>
      </c>
      <c r="K47" s="1" t="s">
        <v>31</v>
      </c>
      <c r="L47" s="1" t="s">
        <v>126</v>
      </c>
      <c r="M47" s="1" t="s">
        <v>33</v>
      </c>
      <c r="N47" s="5">
        <v>46326</v>
      </c>
      <c r="O47" s="5">
        <v>46272</v>
      </c>
      <c r="P47" s="5" t="str">
        <f t="shared" si="0"/>
        <v>Week 1</v>
      </c>
      <c r="R47" s="4">
        <v>3600000000</v>
      </c>
      <c r="S47" s="4">
        <v>3600000000</v>
      </c>
      <c r="T47" s="1" t="s">
        <v>34</v>
      </c>
      <c r="U47" s="1" t="s">
        <v>126</v>
      </c>
      <c r="V47" s="1" t="s">
        <v>301</v>
      </c>
      <c r="W47" s="1" t="s">
        <v>36</v>
      </c>
      <c r="X47" s="2">
        <v>46030.031759259298</v>
      </c>
      <c r="Y47" s="2">
        <v>46272.148287037002</v>
      </c>
      <c r="Z47" s="1" t="s">
        <v>37</v>
      </c>
      <c r="AA47" s="1" t="s">
        <v>49</v>
      </c>
    </row>
  </sheetData>
  <dataValidations count="16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type="textLength" operator="lessThanOrEqual" showInputMessage="1" showErrorMessage="1" errorTitle="Length Exceeded" error="This value must be less than or equal to 300 characters long." promptTitle="Text (required)" prompt="Maximum Length: 300 characters." sqref="E2:E1048576" xr:uid="{00000000-0002-0000-0000-000002000000}">
      <formula1>300</formula1>
    </dataValidation>
    <dataValidation showInputMessage="1" showErrorMessage="1" error=" " promptTitle="Lookup (required)" prompt="This Potential Customer record must already exist in Microsoft Dynamics 365 or in this source file." sqref="F2:F1048576" xr:uid="{00000000-0002-0000-0000-000003000000}"/>
    <dataValidation type="decimal" showInputMessage="1" showErrorMessage="1" errorTitle="Value beyond range" error="(c)  Quantity must be a whole number from -2147483648 through 2147483647." promptTitle="Whole number (required)" prompt="Minimum Value: -2147483648._x000d__x000a_Maximum Value: 2147483647._x000d__x000a_  " sqref="G2:G1048576" xr:uid="{00000000-0002-0000-0000-000004000000}">
      <formula1>-2147483648</formula1>
      <formula2>2147483647</formula2>
    </dataValidation>
    <dataValidation type="decimal" showInputMessage="1" showErrorMessage="1" errorTitle="Value beyond range" error="(c) Price/Unit must be a number from -922337203685477 through 922337203685477." promptTitle="Decimal number (required)" prompt="Minimum Value: -922337203685477._x000d__x000a_Maximum Value: 922337203685477._x000d__x000a_  " sqref="H2:H1048576" xr:uid="{00000000-0002-0000-0000-000005000000}">
      <formula1>-922337203685477</formula1>
      <formula2>922337203685477</formula2>
    </dataValidation>
    <dataValidation type="date" operator="greaterThanOrEqual" showInputMessage="1" showErrorMessage="1" errorTitle="Invalid Date" error="(c) Est. Delivery Date must be in the correct date format." promptTitle="Date (required)" prompt=" " sqref="I2:I1048576" xr:uid="{00000000-0002-0000-0000-000006000000}">
      <formula1>1</formula1>
    </dataValidation>
    <dataValidation showInputMessage="1" showErrorMessage="1" error=" " promptTitle="Lookup (required)" prompt="This Owner record must already exist in Microsoft Dynamics 365 or in this source file." sqref="J2:J1048576" xr:uid="{00000000-0002-0000-0000-000007000000}"/>
    <dataValidation type="date" operator="greaterThanOrEqual" showInputMessage="1" showErrorMessage="1" errorTitle="Invalid Date" error="Est. close date must be in the correct date format." promptTitle="Date (required)" prompt=" " sqref="N2:N1048576" xr:uid="{00000000-0002-0000-0000-00000B000000}">
      <formula1>1</formula1>
    </dataValidation>
    <dataValidation type="date" operator="greaterThanOrEqual" allowBlank="1" showInputMessage="1" showErrorMessage="1" errorTitle="Invalid Date" error="Actual Close Date must be in the correct date format." promptTitle="Date" prompt=" " sqref="O2:Q1048576" xr:uid="{00000000-0002-0000-0000-00000C000000}">
      <formula1>1</formula1>
    </dataValidation>
    <dataValidation type="decimal" showInputMessage="1" showErrorMessage="1" errorTitle="Value beyond range" error="Est. Revenue must be a number from -1000000000000 through 1000000000000." promptTitle="Decimal number (required)" prompt="Minimum Value: -1000000000000._x000d__x000a_Maximum Value: 1000000000000._x000d__x000a_  " sqref="R2:R1048576" xr:uid="{00000000-0002-0000-0000-00000D000000}">
      <formula1>-1000000000000</formula1>
      <formula2>1000000000000</formula2>
    </dataValidation>
    <dataValidation type="decimal" allowBlank="1" showInputMessage="1" showErrorMessage="1" errorTitle="Value beyond range" error="Actual Revenue must be a number from -1000000000000 through 1000000000000." promptTitle="Decimal number" prompt="Minimum Value: -1000000000000._x000d__x000a_Maximum Value: 1000000000000._x000d__x000a_  " sqref="S2:S1048576" xr:uid="{00000000-0002-0000-0000-00000E000000}">
      <formula1>-1000000000000</formula1>
      <formula2>1000000000000</formula2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U2:U1048576" xr:uid="{00000000-0002-0000-0000-000010000000}">
      <formula1>2000</formula1>
    </dataValidation>
    <dataValidation showInputMessage="1" showErrorMessage="1" error=" " promptTitle="Lookup (required)" prompt="This Product Sub Group record must already exist in Microsoft Dynamics 365 or in this source file." sqref="V2:V1048576" xr:uid="{00000000-0002-0000-0000-000011000000}"/>
    <dataValidation type="date" operator="greaterThanOrEqual" allowBlank="1" showInputMessage="1" showErrorMessage="1" errorTitle="Invalid Date" error="Created On must be in the correct date and time format." promptTitle="Date and time" prompt=" " sqref="X2:X1048576" xr:uid="{00000000-0002-0000-0000-000013000000}">
      <formula1>1</formula1>
    </dataValidation>
    <dataValidation type="date" operator="greaterThanOrEqual" allowBlank="1" showInputMessage="1" showErrorMessage="1" errorTitle="Invalid Date" error="Modified On must be in the correct date and time format." promptTitle="Date and time" prompt=" " sqref="Y2:Y1048576" xr:uid="{00000000-0002-0000-0000-000014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8000000}">
          <x14:formula1>
            <xm:f>hiddenSheet!$A$2:$C$2</xm:f>
          </x14:formula1>
          <xm:sqref>K2:K1048576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9000000}">
          <x14:formula1>
            <xm:f>hiddenSheet!$A$3:$P$3</xm:f>
          </x14:formula1>
          <xm:sqref>L2:L1048576</xm:sqref>
        </x14:dataValidation>
        <x14:dataValidation type="list" allowBlank="1" showInputMessage="1" showErrorMessage="1" errorTitle="List Value" error="Staging must be selected from the drop-down list." promptTitle="Option set" prompt="Select a value from the drop-down list." xr:uid="{00000000-0002-0000-0000-00000A000000}">
          <x14:formula1>
            <xm:f>hiddenSheet!$A$4:$G$4</xm:f>
          </x14:formula1>
          <xm:sqref>M2:M1048576</xm:sqref>
        </x14:dataValidation>
        <x14:dataValidation type="list" allowBlank="1" showInputMessage="1" showErrorMessage="1" errorTitle="List Value" error="Rating must be selected from the drop-down list." promptTitle="Option set" prompt="Select a value from the drop-down list." xr:uid="{00000000-0002-0000-0000-00000F000000}">
          <x14:formula1>
            <xm:f>hiddenSheet!$A$5:$C$5</xm:f>
          </x14:formula1>
          <xm:sqref>T2:T1048576</xm:sqref>
        </x14:dataValidation>
        <x14:dataValidation type="list" showInputMessage="1" showErrorMessage="1" errorTitle="List Value" error="Transaction Type must be selected from the drop-down list." promptTitle="Option set (required)" prompt="Select a value from the drop-down list." xr:uid="{00000000-0002-0000-0000-000012000000}">
          <x14:formula1>
            <xm:f>hiddenSheet!$A$6:$D$6</xm:f>
          </x14:formula1>
          <xm:sqref>W2:W1048576</xm:sqref>
        </x14:dataValidation>
        <x14:dataValidation type="list" showInputMessage="1" showErrorMessage="1" errorTitle="List Value" error="Business Sector must be selected from the drop-down list." promptTitle="Option set (required)" prompt="Select a value from the drop-down list." xr:uid="{00000000-0002-0000-0000-000015000000}">
          <x14:formula1>
            <xm:f>hiddenSheet!$A$7:$C$7</xm:f>
          </x14:formula1>
          <xm:sqref>Z2:Z1048576</xm:sqref>
        </x14:dataValidation>
        <x14:dataValidation type="list" showInputMessage="1" showErrorMessage="1" errorTitle="List Value" error="Business Segment must be selected from the drop-down list." promptTitle="Option set (required)" prompt="Select a value from the drop-down list." xr:uid="{00000000-0002-0000-0000-000016000000}">
          <x14:formula1>
            <xm:f>hiddenSheet!$A$8:$F$8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408F-7C97-4081-BEA7-D24D7AF6F920}">
  <dimension ref="A1:G13"/>
  <sheetViews>
    <sheetView tabSelected="1" zoomScale="87" zoomScaleNormal="136" workbookViewId="0">
      <selection activeCell="I12" sqref="I12"/>
    </sheetView>
  </sheetViews>
  <sheetFormatPr defaultRowHeight="14.4" x14ac:dyDescent="0.3"/>
  <cols>
    <col min="1" max="1" width="19.88671875" bestFit="1" customWidth="1"/>
    <col min="2" max="2" width="16.6640625" style="8" bestFit="1" customWidth="1"/>
    <col min="3" max="3" width="16.6640625" bestFit="1" customWidth="1"/>
    <col min="4" max="4" width="16.109375" bestFit="1" customWidth="1"/>
    <col min="5" max="6" width="17.6640625" bestFit="1" customWidth="1"/>
    <col min="7" max="9" width="15" bestFit="1" customWidth="1"/>
    <col min="10" max="10" width="13.44140625" bestFit="1" customWidth="1"/>
    <col min="11" max="11" width="15" bestFit="1" customWidth="1"/>
    <col min="12" max="13" width="16" bestFit="1" customWidth="1"/>
    <col min="14" max="14" width="17" bestFit="1" customWidth="1"/>
  </cols>
  <sheetData>
    <row r="1" spans="1:7" x14ac:dyDescent="0.3">
      <c r="B1"/>
    </row>
    <row r="3" spans="1:7" x14ac:dyDescent="0.3">
      <c r="A3" s="6" t="s">
        <v>336</v>
      </c>
      <c r="B3" s="6" t="s">
        <v>329</v>
      </c>
    </row>
    <row r="4" spans="1:7" x14ac:dyDescent="0.3">
      <c r="A4" s="6" t="s">
        <v>326</v>
      </c>
      <c r="B4" t="s">
        <v>332</v>
      </c>
      <c r="C4" t="s">
        <v>333</v>
      </c>
      <c r="D4" t="s">
        <v>334</v>
      </c>
      <c r="E4" t="s">
        <v>335</v>
      </c>
      <c r="F4" t="s">
        <v>327</v>
      </c>
      <c r="G4" t="s">
        <v>328</v>
      </c>
    </row>
    <row r="5" spans="1:7" x14ac:dyDescent="0.3">
      <c r="A5" s="7" t="s">
        <v>282</v>
      </c>
      <c r="C5" s="8"/>
      <c r="D5" s="8"/>
      <c r="E5" s="8">
        <v>6400000000</v>
      </c>
      <c r="F5" s="8"/>
      <c r="G5" s="8">
        <v>6400000000</v>
      </c>
    </row>
    <row r="6" spans="1:7" x14ac:dyDescent="0.3">
      <c r="A6" s="7" t="s">
        <v>144</v>
      </c>
      <c r="C6" s="8">
        <v>49170000000</v>
      </c>
      <c r="D6" s="8">
        <v>23000000000</v>
      </c>
      <c r="E6" s="8"/>
      <c r="F6" s="8"/>
      <c r="G6" s="8">
        <v>72170000000</v>
      </c>
    </row>
    <row r="7" spans="1:7" x14ac:dyDescent="0.3">
      <c r="A7" s="7" t="s">
        <v>32</v>
      </c>
      <c r="C7" s="8"/>
      <c r="D7" s="8">
        <v>32178852</v>
      </c>
      <c r="E7" s="8">
        <v>11144000000</v>
      </c>
      <c r="F7" s="8"/>
      <c r="G7" s="8">
        <v>11176178852</v>
      </c>
    </row>
    <row r="8" spans="1:7" x14ac:dyDescent="0.3">
      <c r="A8" s="7" t="s">
        <v>62</v>
      </c>
      <c r="C8" s="8"/>
      <c r="D8" s="8"/>
      <c r="E8" s="8">
        <v>46625000000</v>
      </c>
      <c r="F8" s="8"/>
      <c r="G8" s="8">
        <v>46625000000</v>
      </c>
    </row>
    <row r="9" spans="1:7" x14ac:dyDescent="0.3">
      <c r="A9" s="7" t="s">
        <v>45</v>
      </c>
      <c r="B9" s="8">
        <v>5100000000</v>
      </c>
      <c r="C9" s="8"/>
      <c r="D9" s="8">
        <v>7200000000</v>
      </c>
      <c r="E9" s="8">
        <v>3050000000</v>
      </c>
      <c r="F9" s="8"/>
      <c r="G9" s="8">
        <v>15350000000</v>
      </c>
    </row>
    <row r="10" spans="1:7" x14ac:dyDescent="0.3">
      <c r="A10" s="7" t="s">
        <v>71</v>
      </c>
      <c r="B10" s="8">
        <v>6600000000</v>
      </c>
      <c r="C10" s="8">
        <v>18142000000</v>
      </c>
      <c r="D10" s="8">
        <v>1580000000</v>
      </c>
      <c r="E10" s="8">
        <v>48200000000</v>
      </c>
      <c r="F10" s="8"/>
      <c r="G10" s="8">
        <v>74522000000</v>
      </c>
    </row>
    <row r="11" spans="1:7" x14ac:dyDescent="0.3">
      <c r="A11" s="7" t="s">
        <v>126</v>
      </c>
      <c r="B11" s="8">
        <v>12395000000</v>
      </c>
      <c r="C11" s="8"/>
      <c r="D11" s="8"/>
      <c r="E11" s="8"/>
      <c r="F11" s="8"/>
      <c r="G11" s="8">
        <v>12395000000</v>
      </c>
    </row>
    <row r="12" spans="1:7" x14ac:dyDescent="0.3">
      <c r="A12" s="7" t="s">
        <v>327</v>
      </c>
      <c r="C12" s="8"/>
      <c r="D12" s="8"/>
      <c r="E12" s="8"/>
      <c r="F12" s="8"/>
      <c r="G12" s="8"/>
    </row>
    <row r="13" spans="1:7" x14ac:dyDescent="0.3">
      <c r="A13" s="7" t="s">
        <v>328</v>
      </c>
      <c r="B13" s="8">
        <v>24095000000</v>
      </c>
      <c r="C13" s="8">
        <v>67312000000</v>
      </c>
      <c r="D13" s="8">
        <v>31812178852</v>
      </c>
      <c r="E13" s="8">
        <v>115419000000</v>
      </c>
      <c r="F13" s="8"/>
      <c r="G13" s="8">
        <v>238638178852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P8"/>
  <sheetViews>
    <sheetView workbookViewId="0"/>
  </sheetViews>
  <sheetFormatPr defaultRowHeight="14.4" x14ac:dyDescent="0.3"/>
  <sheetData>
    <row r="1" spans="1:16" x14ac:dyDescent="0.3">
      <c r="A1" t="s">
        <v>302</v>
      </c>
    </row>
    <row r="2" spans="1:16" x14ac:dyDescent="0.3">
      <c r="A2" t="s">
        <v>303</v>
      </c>
      <c r="B2" t="s">
        <v>304</v>
      </c>
      <c r="C2" t="s">
        <v>31</v>
      </c>
    </row>
    <row r="3" spans="1:16" x14ac:dyDescent="0.3">
      <c r="A3" t="s">
        <v>305</v>
      </c>
      <c r="B3" t="s">
        <v>306</v>
      </c>
      <c r="C3" t="s">
        <v>304</v>
      </c>
      <c r="D3" t="s">
        <v>144</v>
      </c>
      <c r="E3" t="s">
        <v>126</v>
      </c>
      <c r="F3" t="s">
        <v>307</v>
      </c>
      <c r="G3" t="s">
        <v>45</v>
      </c>
      <c r="H3" t="s">
        <v>308</v>
      </c>
      <c r="I3" t="s">
        <v>71</v>
      </c>
      <c r="J3" t="s">
        <v>282</v>
      </c>
      <c r="K3" t="s">
        <v>309</v>
      </c>
      <c r="L3" t="s">
        <v>310</v>
      </c>
      <c r="M3" t="s">
        <v>62</v>
      </c>
      <c r="N3" t="s">
        <v>311</v>
      </c>
      <c r="O3" t="s">
        <v>32</v>
      </c>
      <c r="P3" t="s">
        <v>312</v>
      </c>
    </row>
    <row r="4" spans="1:16" x14ac:dyDescent="0.3">
      <c r="A4" t="s">
        <v>313</v>
      </c>
      <c r="B4" t="s">
        <v>314</v>
      </c>
      <c r="C4" t="s">
        <v>315</v>
      </c>
      <c r="D4" t="s">
        <v>316</v>
      </c>
      <c r="E4" t="s">
        <v>317</v>
      </c>
      <c r="F4" t="s">
        <v>33</v>
      </c>
      <c r="G4" t="s">
        <v>318</v>
      </c>
    </row>
    <row r="5" spans="1:16" x14ac:dyDescent="0.3">
      <c r="A5" t="s">
        <v>319</v>
      </c>
      <c r="B5" t="s">
        <v>34</v>
      </c>
      <c r="C5" t="s">
        <v>320</v>
      </c>
    </row>
    <row r="6" spans="1:16" x14ac:dyDescent="0.3">
      <c r="A6" t="s">
        <v>36</v>
      </c>
      <c r="B6" t="s">
        <v>321</v>
      </c>
      <c r="C6" t="s">
        <v>322</v>
      </c>
      <c r="D6" t="s">
        <v>323</v>
      </c>
    </row>
    <row r="7" spans="1:16" x14ac:dyDescent="0.3">
      <c r="A7" t="s">
        <v>37</v>
      </c>
      <c r="B7" t="s">
        <v>48</v>
      </c>
      <c r="C7" t="s">
        <v>108</v>
      </c>
    </row>
    <row r="8" spans="1:16" x14ac:dyDescent="0.3">
      <c r="A8" t="s">
        <v>49</v>
      </c>
      <c r="B8" t="s">
        <v>324</v>
      </c>
      <c r="C8" t="s">
        <v>109</v>
      </c>
      <c r="D8" t="s">
        <v>79</v>
      </c>
      <c r="E8" t="s">
        <v>38</v>
      </c>
      <c r="F8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Opportunities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sahid sutris</cp:lastModifiedBy>
  <dcterms:modified xsi:type="dcterms:W3CDTF">2026-09-29T08:29:41Z</dcterms:modified>
</cp:coreProperties>
</file>